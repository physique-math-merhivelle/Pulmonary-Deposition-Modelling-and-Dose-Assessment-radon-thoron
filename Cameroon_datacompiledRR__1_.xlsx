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0800" windowHeight="6930"/>
  </bookViews>
  <sheets>
    <sheet name="Feuil1" sheetId="1" r:id="rId1"/>
    <sheet name="Sheet3" sheetId="4" r:id="rId2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50" i="4" l="1"/>
  <c r="AA50" i="4" s="1"/>
  <c r="U50" i="4"/>
  <c r="V50" i="4" s="1"/>
  <c r="W50" i="4" s="1"/>
  <c r="AC50" i="4" s="1"/>
  <c r="Z49" i="4"/>
  <c r="AA49" i="4" s="1"/>
  <c r="U49" i="4"/>
  <c r="V49" i="4" s="1"/>
  <c r="W49" i="4" s="1"/>
  <c r="AC49" i="4" s="1"/>
  <c r="AC48" i="4"/>
  <c r="Z48" i="4"/>
  <c r="AA48" i="4" s="1"/>
  <c r="AB48" i="4" s="1"/>
  <c r="AD48" i="4" s="1"/>
  <c r="U48" i="4"/>
  <c r="V48" i="4" s="1"/>
  <c r="W48" i="4" s="1"/>
  <c r="Z47" i="4"/>
  <c r="AA47" i="4" s="1"/>
  <c r="U47" i="4"/>
  <c r="V47" i="4" s="1"/>
  <c r="W47" i="4" s="1"/>
  <c r="AC47" i="4" s="1"/>
  <c r="Z46" i="4"/>
  <c r="AA46" i="4" s="1"/>
  <c r="U46" i="4"/>
  <c r="V46" i="4" s="1"/>
  <c r="W46" i="4" s="1"/>
  <c r="AC46" i="4" s="1"/>
  <c r="Z45" i="4"/>
  <c r="AA45" i="4" s="1"/>
  <c r="U45" i="4"/>
  <c r="V45" i="4" s="1"/>
  <c r="W45" i="4" s="1"/>
  <c r="AC45" i="4" s="1"/>
  <c r="Z44" i="4"/>
  <c r="AA44" i="4" s="1"/>
  <c r="U44" i="4"/>
  <c r="V44" i="4" s="1"/>
  <c r="W44" i="4" s="1"/>
  <c r="AC44" i="4" s="1"/>
  <c r="Z43" i="4"/>
  <c r="AA43" i="4" s="1"/>
  <c r="U43" i="4"/>
  <c r="V43" i="4" s="1"/>
  <c r="W43" i="4" s="1"/>
  <c r="AC43" i="4" s="1"/>
  <c r="Z42" i="4"/>
  <c r="AA42" i="4" s="1"/>
  <c r="V42" i="4"/>
  <c r="W42" i="4" s="1"/>
  <c r="AC42" i="4" s="1"/>
  <c r="U42" i="4"/>
  <c r="Z41" i="4"/>
  <c r="AA41" i="4" s="1"/>
  <c r="U41" i="4"/>
  <c r="V41" i="4" s="1"/>
  <c r="W41" i="4" s="1"/>
  <c r="AC41" i="4" s="1"/>
  <c r="Z40" i="4"/>
  <c r="AA40" i="4" s="1"/>
  <c r="AB40" i="4" s="1"/>
  <c r="AD40" i="4" s="1"/>
  <c r="U40" i="4"/>
  <c r="V40" i="4" s="1"/>
  <c r="W40" i="4" s="1"/>
  <c r="AC40" i="4" s="1"/>
  <c r="Z39" i="4"/>
  <c r="AA39" i="4" s="1"/>
  <c r="U39" i="4"/>
  <c r="V39" i="4" s="1"/>
  <c r="W39" i="4" s="1"/>
  <c r="AC39" i="4" s="1"/>
  <c r="U38" i="4"/>
  <c r="V38" i="4" s="1"/>
  <c r="W38" i="4" s="1"/>
  <c r="AC38" i="4" s="1"/>
  <c r="Z37" i="4"/>
  <c r="AA37" i="4" s="1"/>
  <c r="U37" i="4"/>
  <c r="V37" i="4" s="1"/>
  <c r="W37" i="4" s="1"/>
  <c r="AC37" i="4" s="1"/>
  <c r="Z36" i="4"/>
  <c r="AA36" i="4" s="1"/>
  <c r="AB36" i="4" s="1"/>
  <c r="AD36" i="4" s="1"/>
  <c r="V36" i="4"/>
  <c r="W36" i="4" s="1"/>
  <c r="AC36" i="4" s="1"/>
  <c r="U36" i="4"/>
  <c r="Z35" i="4"/>
  <c r="AA35" i="4" s="1"/>
  <c r="U35" i="4"/>
  <c r="V35" i="4" s="1"/>
  <c r="W35" i="4" s="1"/>
  <c r="AC35" i="4" s="1"/>
  <c r="Z34" i="4"/>
  <c r="AA34" i="4" s="1"/>
  <c r="U34" i="4"/>
  <c r="V34" i="4" s="1"/>
  <c r="W34" i="4" s="1"/>
  <c r="AC34" i="4" s="1"/>
  <c r="Z33" i="4"/>
  <c r="AA33" i="4" s="1"/>
  <c r="U33" i="4"/>
  <c r="V33" i="4" s="1"/>
  <c r="W33" i="4" s="1"/>
  <c r="AC33" i="4" s="1"/>
  <c r="Z32" i="4"/>
  <c r="AA32" i="4" s="1"/>
  <c r="AB32" i="4" s="1"/>
  <c r="AD32" i="4" s="1"/>
  <c r="U32" i="4"/>
  <c r="V32" i="4" s="1"/>
  <c r="W32" i="4" s="1"/>
  <c r="AC32" i="4" s="1"/>
  <c r="Z31" i="4"/>
  <c r="AA31" i="4" s="1"/>
  <c r="U31" i="4"/>
  <c r="V31" i="4" s="1"/>
  <c r="W31" i="4" s="1"/>
  <c r="AC31" i="4" s="1"/>
  <c r="Z30" i="4"/>
  <c r="AA30" i="4" s="1"/>
  <c r="U30" i="4"/>
  <c r="V30" i="4" s="1"/>
  <c r="W30" i="4" s="1"/>
  <c r="AC30" i="4" s="1"/>
  <c r="Z29" i="4"/>
  <c r="AA29" i="4" s="1"/>
  <c r="U29" i="4"/>
  <c r="V29" i="4" s="1"/>
  <c r="W29" i="4" s="1"/>
  <c r="AC29" i="4" s="1"/>
  <c r="Z27" i="4"/>
  <c r="AA27" i="4" s="1"/>
  <c r="U27" i="4"/>
  <c r="V27" i="4" s="1"/>
  <c r="W27" i="4" s="1"/>
  <c r="AC27" i="4" s="1"/>
  <c r="Z26" i="4"/>
  <c r="AA26" i="4" s="1"/>
  <c r="U26" i="4"/>
  <c r="V26" i="4" s="1"/>
  <c r="W26" i="4" s="1"/>
  <c r="AC26" i="4" s="1"/>
  <c r="Z25" i="4"/>
  <c r="AA25" i="4" s="1"/>
  <c r="U25" i="4"/>
  <c r="V25" i="4" s="1"/>
  <c r="W25" i="4" s="1"/>
  <c r="AC25" i="4" s="1"/>
  <c r="Z23" i="4"/>
  <c r="AA23" i="4" s="1"/>
  <c r="U23" i="4"/>
  <c r="V23" i="4" s="1"/>
  <c r="W23" i="4" s="1"/>
  <c r="AC23" i="4" s="1"/>
  <c r="Z22" i="4"/>
  <c r="AA22" i="4" s="1"/>
  <c r="V22" i="4"/>
  <c r="W22" i="4" s="1"/>
  <c r="AC22" i="4" s="1"/>
  <c r="U22" i="4"/>
  <c r="Z20" i="4"/>
  <c r="AA20" i="4" s="1"/>
  <c r="U20" i="4"/>
  <c r="V20" i="4" s="1"/>
  <c r="W20" i="4" s="1"/>
  <c r="AC20" i="4" s="1"/>
  <c r="Z19" i="4"/>
  <c r="AA19" i="4" s="1"/>
  <c r="U19" i="4"/>
  <c r="V19" i="4" s="1"/>
  <c r="W19" i="4" s="1"/>
  <c r="AC19" i="4" s="1"/>
  <c r="Z18" i="4"/>
  <c r="AA18" i="4" s="1"/>
  <c r="U18" i="4"/>
  <c r="V18" i="4" s="1"/>
  <c r="W18" i="4" s="1"/>
  <c r="AC18" i="4" s="1"/>
  <c r="Z17" i="4"/>
  <c r="AA17" i="4" s="1"/>
  <c r="AB17" i="4" s="1"/>
  <c r="AD17" i="4" s="1"/>
  <c r="U17" i="4"/>
  <c r="V17" i="4" s="1"/>
  <c r="W17" i="4" s="1"/>
  <c r="AC17" i="4" s="1"/>
  <c r="Z16" i="4"/>
  <c r="AA16" i="4" s="1"/>
  <c r="U16" i="4"/>
  <c r="V16" i="4" s="1"/>
  <c r="W16" i="4" s="1"/>
  <c r="AC16" i="4" s="1"/>
  <c r="Z14" i="4"/>
  <c r="AA14" i="4" s="1"/>
  <c r="U14" i="4"/>
  <c r="V14" i="4" s="1"/>
  <c r="W14" i="4" s="1"/>
  <c r="AC14" i="4" s="1"/>
  <c r="Z13" i="4"/>
  <c r="AA13" i="4" s="1"/>
  <c r="V13" i="4"/>
  <c r="W13" i="4" s="1"/>
  <c r="AC13" i="4" s="1"/>
  <c r="U13" i="4"/>
  <c r="Z12" i="4"/>
  <c r="AA12" i="4" s="1"/>
  <c r="U12" i="4"/>
  <c r="V12" i="4" s="1"/>
  <c r="W12" i="4" s="1"/>
  <c r="AC12" i="4" s="1"/>
  <c r="Z11" i="4"/>
  <c r="AA11" i="4" s="1"/>
  <c r="U11" i="4"/>
  <c r="V11" i="4" s="1"/>
  <c r="W11" i="4" s="1"/>
  <c r="AC11" i="4" s="1"/>
  <c r="U10" i="4"/>
  <c r="V10" i="4" s="1"/>
  <c r="W10" i="4" s="1"/>
  <c r="AC10" i="4" s="1"/>
  <c r="Z9" i="4"/>
  <c r="AA9" i="4" s="1"/>
  <c r="AB9" i="4" s="1"/>
  <c r="AD9" i="4" s="1"/>
  <c r="U9" i="4"/>
  <c r="V9" i="4" s="1"/>
  <c r="W9" i="4" s="1"/>
  <c r="AC9" i="4" s="1"/>
  <c r="Z8" i="4"/>
  <c r="AA8" i="4" s="1"/>
  <c r="U8" i="4"/>
  <c r="V8" i="4" s="1"/>
  <c r="W8" i="4" s="1"/>
  <c r="AC8" i="4" s="1"/>
  <c r="Z7" i="4"/>
  <c r="AA7" i="4" s="1"/>
  <c r="AB7" i="4" s="1"/>
  <c r="AD7" i="4" s="1"/>
  <c r="U7" i="4"/>
  <c r="V7" i="4" s="1"/>
  <c r="W7" i="4" s="1"/>
  <c r="AC7" i="4" s="1"/>
  <c r="Z6" i="4"/>
  <c r="AA6" i="4" s="1"/>
  <c r="AB6" i="4" s="1"/>
  <c r="AD6" i="4" s="1"/>
  <c r="U6" i="4"/>
  <c r="V6" i="4" s="1"/>
  <c r="W6" i="4" s="1"/>
  <c r="AC6" i="4" s="1"/>
  <c r="Z5" i="4"/>
  <c r="AA5" i="4" s="1"/>
  <c r="U5" i="4"/>
  <c r="V5" i="4" s="1"/>
  <c r="W5" i="4" s="1"/>
  <c r="AC5" i="4" s="1"/>
  <c r="Z4" i="4"/>
  <c r="AA4" i="4" s="1"/>
  <c r="U4" i="4"/>
  <c r="V4" i="4" s="1"/>
  <c r="W4" i="4" s="1"/>
  <c r="AC4" i="4" s="1"/>
  <c r="Z3" i="4"/>
  <c r="AA3" i="4" s="1"/>
  <c r="AB3" i="4" s="1"/>
  <c r="AD3" i="4" s="1"/>
  <c r="U3" i="4"/>
  <c r="V3" i="4" s="1"/>
  <c r="W3" i="4" s="1"/>
  <c r="AC3" i="4" s="1"/>
  <c r="AB49" i="4" l="1"/>
  <c r="AD49" i="4" s="1"/>
  <c r="AB13" i="4"/>
  <c r="AD13" i="4" s="1"/>
  <c r="AB29" i="4"/>
  <c r="AD29" i="4" s="1"/>
  <c r="AB42" i="4"/>
  <c r="AD42" i="4" s="1"/>
  <c r="AB4" i="4"/>
  <c r="AD4" i="4" s="1"/>
  <c r="AB5" i="4"/>
  <c r="AD5" i="4" s="1"/>
  <c r="AB18" i="4"/>
  <c r="AD18" i="4" s="1"/>
  <c r="AB33" i="4"/>
  <c r="AD33" i="4" s="1"/>
  <c r="AB45" i="4"/>
  <c r="AD45" i="4" s="1"/>
  <c r="AB8" i="4"/>
  <c r="AD8" i="4" s="1"/>
  <c r="AB22" i="4"/>
  <c r="AD22" i="4" s="1"/>
  <c r="AB14" i="4"/>
  <c r="AB30" i="4"/>
  <c r="AD30" i="4" s="1"/>
  <c r="AB43" i="4"/>
  <c r="AD43" i="4" s="1"/>
  <c r="AB23" i="4"/>
  <c r="AD23" i="4" s="1"/>
  <c r="AB37" i="4"/>
  <c r="AD37" i="4" s="1"/>
  <c r="AB50" i="4"/>
  <c r="AD50" i="4" s="1"/>
  <c r="AB11" i="4"/>
  <c r="AD11" i="4" s="1"/>
  <c r="AB25" i="4"/>
  <c r="AD25" i="4" s="1"/>
  <c r="AB26" i="4"/>
  <c r="AD26" i="4" s="1"/>
  <c r="AB39" i="4"/>
  <c r="AD39" i="4" s="1"/>
  <c r="AB12" i="4"/>
  <c r="AD12" i="4" s="1"/>
  <c r="AB27" i="4"/>
  <c r="AD27" i="4" s="1"/>
  <c r="AB41" i="4"/>
  <c r="AD41" i="4" s="1"/>
  <c r="AB46" i="4"/>
  <c r="AD46" i="4" s="1"/>
  <c r="AB20" i="4"/>
  <c r="AD20" i="4" s="1"/>
  <c r="AB35" i="4"/>
  <c r="AD35" i="4" s="1"/>
  <c r="AB19" i="4"/>
  <c r="AD19" i="4" s="1"/>
  <c r="AB34" i="4"/>
  <c r="AD34" i="4" s="1"/>
  <c r="AB47" i="4"/>
  <c r="AD47" i="4" s="1"/>
  <c r="AB16" i="4"/>
  <c r="AD16" i="4" s="1"/>
  <c r="AB31" i="4"/>
  <c r="AD31" i="4" s="1"/>
  <c r="AB44" i="4"/>
  <c r="AD44" i="4" s="1"/>
  <c r="N4" i="4"/>
  <c r="N5" i="4"/>
  <c r="N6" i="4"/>
  <c r="N7" i="4"/>
  <c r="N8" i="4"/>
  <c r="N9" i="4"/>
  <c r="N11" i="4"/>
  <c r="N12" i="4"/>
  <c r="N13" i="4"/>
  <c r="N15" i="4"/>
  <c r="N16" i="4"/>
  <c r="N17" i="4"/>
  <c r="N18" i="4"/>
  <c r="N19" i="4"/>
  <c r="N20" i="4"/>
  <c r="N21" i="4"/>
  <c r="N22" i="4"/>
  <c r="N23" i="4"/>
  <c r="N25" i="4"/>
  <c r="N26" i="4"/>
  <c r="N27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3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2" i="4"/>
  <c r="I23" i="4"/>
  <c r="I25" i="4"/>
  <c r="I26" i="4"/>
  <c r="I27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4" i="4"/>
  <c r="I3" i="4"/>
  <c r="O4" i="4" l="1"/>
  <c r="P4" i="4" s="1"/>
  <c r="O5" i="4"/>
  <c r="O6" i="4"/>
  <c r="O7" i="4"/>
  <c r="O8" i="4"/>
  <c r="O9" i="4"/>
  <c r="O11" i="4"/>
  <c r="O12" i="4"/>
  <c r="O13" i="4"/>
  <c r="O15" i="4"/>
  <c r="O16" i="4"/>
  <c r="O17" i="4"/>
  <c r="O18" i="4"/>
  <c r="O19" i="4"/>
  <c r="O20" i="4"/>
  <c r="O21" i="4"/>
  <c r="P21" i="4" s="1"/>
  <c r="O22" i="4"/>
  <c r="O23" i="4"/>
  <c r="O25" i="4"/>
  <c r="O26" i="4"/>
  <c r="O27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3" i="4"/>
  <c r="J9" i="4"/>
  <c r="K9" i="4" s="1"/>
  <c r="J10" i="4"/>
  <c r="K10" i="4" s="1"/>
  <c r="J4" i="4"/>
  <c r="K4" i="4" s="1"/>
  <c r="J5" i="4"/>
  <c r="K5" i="4" s="1"/>
  <c r="J6" i="4"/>
  <c r="K6" i="4" s="1"/>
  <c r="J7" i="4"/>
  <c r="K7" i="4" s="1"/>
  <c r="J8" i="4"/>
  <c r="K8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 s="1"/>
  <c r="J19" i="4"/>
  <c r="K19" i="4" s="1"/>
  <c r="J20" i="4"/>
  <c r="K20" i="4" s="1"/>
  <c r="J22" i="4"/>
  <c r="K22" i="4" s="1"/>
  <c r="J23" i="4"/>
  <c r="K23" i="4" s="1"/>
  <c r="J25" i="4"/>
  <c r="K25" i="4" s="1"/>
  <c r="J26" i="4"/>
  <c r="K26" i="4" s="1"/>
  <c r="J27" i="4"/>
  <c r="K27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3" i="4"/>
  <c r="K3" i="4" s="1"/>
  <c r="P3" i="4" l="1"/>
  <c r="P26" i="4"/>
  <c r="P50" i="4"/>
  <c r="P49" i="4"/>
  <c r="P23" i="4"/>
  <c r="P48" i="4"/>
  <c r="P22" i="4"/>
  <c r="P47" i="4"/>
  <c r="P46" i="4"/>
  <c r="P20" i="4"/>
  <c r="P45" i="4"/>
  <c r="P19" i="4"/>
  <c r="P18" i="4"/>
  <c r="P9" i="4"/>
  <c r="P25" i="4"/>
  <c r="P44" i="4"/>
  <c r="P43" i="4"/>
  <c r="P16" i="4"/>
  <c r="P40" i="4"/>
  <c r="P12" i="4"/>
  <c r="P11" i="4"/>
  <c r="P41" i="4"/>
  <c r="P13" i="4"/>
  <c r="P17" i="4"/>
  <c r="P42" i="4"/>
  <c r="P15" i="4"/>
  <c r="P39" i="4"/>
  <c r="P38" i="4"/>
  <c r="P37" i="4"/>
  <c r="P36" i="4"/>
  <c r="P8" i="4"/>
  <c r="P35" i="4"/>
  <c r="P7" i="4"/>
  <c r="P34" i="4"/>
  <c r="P6" i="4"/>
  <c r="P33" i="4"/>
  <c r="P5" i="4"/>
  <c r="P32" i="4"/>
  <c r="P31" i="4"/>
  <c r="P30" i="4"/>
  <c r="P29" i="4"/>
  <c r="P27" i="4"/>
</calcChain>
</file>

<file path=xl/sharedStrings.xml><?xml version="1.0" encoding="utf-8"?>
<sst xmlns="http://schemas.openxmlformats.org/spreadsheetml/2006/main" count="385" uniqueCount="135">
  <si>
    <t>House
 address</t>
  </si>
  <si>
    <t>type of home</t>
  </si>
  <si>
    <t>floor 
number</t>
  </si>
  <si>
    <t>type of
 room</t>
  </si>
  <si>
    <t>No. of doors and windows</t>
  </si>
  <si>
    <t>No. of fans/
air-conditioning</t>
  </si>
  <si>
    <t>number of occupants
 in the house</t>
  </si>
  <si>
    <t xml:space="preserve">date of
 deployment </t>
  </si>
  <si>
    <t>date of retrieval</t>
  </si>
  <si>
    <t>living room</t>
  </si>
  <si>
    <t>1 door, 2 win</t>
  </si>
  <si>
    <t>1 door, 1 win</t>
  </si>
  <si>
    <t>1 door, 0 win</t>
  </si>
  <si>
    <t>1 door</t>
  </si>
  <si>
    <t>ASSOULAMBONO GEORGES</t>
  </si>
  <si>
    <t>2 doors, 2 win</t>
  </si>
  <si>
    <t>KA'ALAH REGINE</t>
  </si>
  <si>
    <t>EZOUEDO LOUCINE</t>
  </si>
  <si>
    <t>1 door, 3 win</t>
  </si>
  <si>
    <t xml:space="preserve">2 doors </t>
  </si>
  <si>
    <t>2 doors</t>
  </si>
  <si>
    <t>2 doors, 1 win</t>
  </si>
  <si>
    <t>WIRENESH_CAPE</t>
  </si>
  <si>
    <t xml:space="preserve">DRPS/DTPS_ID </t>
  </si>
  <si>
    <t>TATIANA AWOUT</t>
  </si>
  <si>
    <t>GPS</t>
  </si>
  <si>
    <t>NUMBER OF DAYS</t>
  </si>
  <si>
    <t>3.511778/15.055975</t>
  </si>
  <si>
    <t>3.511778/15.055976</t>
  </si>
  <si>
    <t>3.511778/15.055977</t>
  </si>
  <si>
    <t>3.511778/15.055978</t>
  </si>
  <si>
    <t>3.511778/15.055979</t>
  </si>
  <si>
    <t>3.511778/15.055980</t>
  </si>
  <si>
    <t>3.511778/15.055981</t>
  </si>
  <si>
    <t>3.511778/15.055982</t>
  </si>
  <si>
    <t>3.511778/15.055983</t>
  </si>
  <si>
    <t>3.511778/15.055984</t>
  </si>
  <si>
    <t>3.511778/15.055985</t>
  </si>
  <si>
    <t>3.511778/15.055986</t>
  </si>
  <si>
    <t>3.511778/15.055987</t>
  </si>
  <si>
    <t>3.511778/15.055988</t>
  </si>
  <si>
    <t>3.511778/15.055989</t>
  </si>
  <si>
    <t>3.511778/15.055990</t>
  </si>
  <si>
    <t>3.511778/15.055991</t>
  </si>
  <si>
    <t>3.511778/15.055992</t>
  </si>
  <si>
    <t>3.511778/15.055993</t>
  </si>
  <si>
    <t>3.511778/15.055994</t>
  </si>
  <si>
    <t>3.511778/15.055995</t>
  </si>
  <si>
    <t>3.511778/15.055996</t>
  </si>
  <si>
    <t>3.511778/15.055997</t>
  </si>
  <si>
    <t>3.511778/15.055998</t>
  </si>
  <si>
    <t>3.511778/15.055999</t>
  </si>
  <si>
    <t>3.511778/15.056000</t>
  </si>
  <si>
    <t>3.511778/15.056001</t>
  </si>
  <si>
    <t>3.511778/15.056002</t>
  </si>
  <si>
    <t>3.511778/15.056003</t>
  </si>
  <si>
    <t>3.511778/15.056004</t>
  </si>
  <si>
    <t>3.511778/15.056005</t>
  </si>
  <si>
    <t>3.511778/15.056006</t>
  </si>
  <si>
    <t>3.511778/15.056007</t>
  </si>
  <si>
    <t>3.511778/15.056008</t>
  </si>
  <si>
    <t>3.511778/15.056009</t>
  </si>
  <si>
    <t>3.511778/15.056010</t>
  </si>
  <si>
    <t>3.511778/15.056011</t>
  </si>
  <si>
    <t>3.511778/15.056012</t>
  </si>
  <si>
    <t>3.511778/15.056013</t>
  </si>
  <si>
    <t>3.511778/15.056014</t>
  </si>
  <si>
    <t>3.511778/15.056015</t>
  </si>
  <si>
    <t>3.511778/15.056016</t>
  </si>
  <si>
    <t>3.511778/15.056017</t>
  </si>
  <si>
    <t>3.511778/15.056018</t>
  </si>
  <si>
    <t>3.511778/15.056019</t>
  </si>
  <si>
    <t>3.511778/15.056020</t>
  </si>
  <si>
    <t>3.511778/15.056021</t>
  </si>
  <si>
    <t>3.511778/15.056022</t>
  </si>
  <si>
    <t>MELI KOUAGANG</t>
  </si>
  <si>
    <t>FREDERIC KOUANGA</t>
  </si>
  <si>
    <t>MATTHIEU</t>
  </si>
  <si>
    <t>JONAS</t>
  </si>
  <si>
    <t>ESPE VEDEC</t>
  </si>
  <si>
    <t>OUSMANOU BAKARY</t>
  </si>
  <si>
    <t>KOMOLO JEREMIE</t>
  </si>
  <si>
    <t>ADIDJATOU</t>
  </si>
  <si>
    <t>ATOMI NEYE CLAVERS</t>
  </si>
  <si>
    <t>MENPILI JULES</t>
  </si>
  <si>
    <t>BIDJONDJABIBEN</t>
  </si>
  <si>
    <t>BABET MESSANI</t>
  </si>
  <si>
    <t>MVOGO</t>
  </si>
  <si>
    <t>DJOUABINDI SANDOR</t>
  </si>
  <si>
    <t>NATHALIE</t>
  </si>
  <si>
    <t>ABENG</t>
  </si>
  <si>
    <t>LOZOAH PIERRE NOEL</t>
  </si>
  <si>
    <t>MPOKI HENRIE</t>
  </si>
  <si>
    <t>TEWOA</t>
  </si>
  <si>
    <t>NGUEMO RAMANIUS</t>
  </si>
  <si>
    <t>TSAMA EDOUAD</t>
  </si>
  <si>
    <t>TSAFACK ROSE</t>
  </si>
  <si>
    <t>TSAMA DELPHINE</t>
  </si>
  <si>
    <t>POSSIE SUZANE</t>
  </si>
  <si>
    <t>DJOUJEU LOIC MARTIAL</t>
  </si>
  <si>
    <t>ASAPGO JANETTE</t>
  </si>
  <si>
    <t>ZAMBO CHRETIEN</t>
  </si>
  <si>
    <t>NGUEJOU CLAUDE</t>
  </si>
  <si>
    <t>ATEUFACK LUCRESSE</t>
  </si>
  <si>
    <t>TEZENOU JUSTIN</t>
  </si>
  <si>
    <t>TSAMO</t>
  </si>
  <si>
    <t>DJOUFACK MARIE</t>
  </si>
  <si>
    <t>KUETE GERALDO</t>
  </si>
  <si>
    <t>KENFACK FELIX</t>
  </si>
  <si>
    <t>TSAWA THOMAS</t>
  </si>
  <si>
    <t>NUEFACK KEMDONG</t>
  </si>
  <si>
    <t>SONNA JULIENNE</t>
  </si>
  <si>
    <t>DJOUMESSI MATHIAS</t>
  </si>
  <si>
    <t>NGUENE JEAN</t>
  </si>
  <si>
    <t>DJEUTSA RENE</t>
  </si>
  <si>
    <t>AHIMELE ZIMO MARTHIN</t>
  </si>
  <si>
    <t>TSOPNGUE BERNARS</t>
  </si>
  <si>
    <t>NGUEGANG MARTHE</t>
  </si>
  <si>
    <t>KENANG KEMASSONG</t>
  </si>
  <si>
    <t>LOCALITIES</t>
  </si>
  <si>
    <t>MOBILONG/YKM</t>
  </si>
  <si>
    <t>FONGO-TONGO</t>
  </si>
  <si>
    <t>WIRENESH_ID</t>
  </si>
  <si>
    <t xml:space="preserve">DTPS </t>
  </si>
  <si>
    <t>av tr/cm2</t>
  </si>
  <si>
    <t>tr/cm2/d</t>
  </si>
  <si>
    <t>EETC (Bq/m3)</t>
  </si>
  <si>
    <t xml:space="preserve">DRPS </t>
  </si>
  <si>
    <t>EERC (Bq/m3)</t>
  </si>
  <si>
    <t>EERC-attached</t>
  </si>
  <si>
    <t>EETC-attached</t>
  </si>
  <si>
    <t>p-Rn</t>
  </si>
  <si>
    <t>p-Tn</t>
  </si>
  <si>
    <t>EETCa (Bq/m3)</t>
  </si>
  <si>
    <t>EERCa (Bq/m3)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</si>
</sst>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14" fontId="2" fillId="0" borderId="1" xfId="0" applyNumberFormat="1" applyFont="1" applyBorder="1"/>
    <xf numFmtId="0" fontId="1" fillId="0" borderId="0" xfId="0" applyFont="1" applyAlignment="1">
      <alignment vertical="center"/>
    </xf>
    <xf numFmtId="0" fontId="2" fillId="0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0" fillId="0" borderId="0" xfId="0" applyFont="1"/>
    <xf numFmtId="0" fontId="6" fillId="0" borderId="0" xfId="0" applyFont="1"/>
    <xf numFmtId="2" fontId="0" fillId="0" borderId="0" xfId="0" applyNumberFormat="1"/>
    <xf numFmtId="2" fontId="6" fillId="0" borderId="0" xfId="0" applyNumberFormat="1" applyFont="1"/>
    <xf numFmtId="2" fontId="6" fillId="0" borderId="0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2"/>
  <sheetViews>
    <sheetView tabSelected="1" topLeftCell="B1" workbookViewId="0">
      <selection activeCell="O18" sqref="O18"/>
    </sheetView>
  </sheetViews>
  <sheetFormatPr defaultColWidth="8.7109375" defaultRowHeight="15" x14ac:dyDescent="0.25"/>
  <cols>
    <col min="1" max="1" width="16.42578125" customWidth="1"/>
    <col min="2" max="2" width="12.5703125" customWidth="1"/>
    <col min="3" max="3" width="12.42578125" customWidth="1"/>
    <col min="4" max="4" width="13.42578125" customWidth="1"/>
    <col min="5" max="5" width="17.7109375" customWidth="1"/>
    <col min="9" max="9" width="11.42578125" customWidth="1"/>
    <col min="12" max="12" width="16.140625" customWidth="1"/>
    <col min="13" max="13" width="17.85546875" customWidth="1"/>
    <col min="14" max="14" width="14.140625" customWidth="1"/>
    <col min="15" max="15" width="16.140625" customWidth="1"/>
    <col min="17" max="17" width="8.7109375" style="14" customWidth="1"/>
    <col min="18" max="18" width="9.140625" style="12"/>
    <col min="20" max="26" width="8.7109375" style="12"/>
  </cols>
  <sheetData>
    <row r="1" spans="1:25" ht="90" x14ac:dyDescent="0.25">
      <c r="A1" s="8" t="s">
        <v>119</v>
      </c>
      <c r="B1" s="2" t="s">
        <v>122</v>
      </c>
      <c r="C1" s="2" t="s">
        <v>23</v>
      </c>
      <c r="D1" s="3" t="s">
        <v>0</v>
      </c>
      <c r="E1" s="3" t="s">
        <v>1</v>
      </c>
      <c r="F1" s="3" t="s">
        <v>2</v>
      </c>
      <c r="G1" s="16" t="s">
        <v>3</v>
      </c>
      <c r="H1" s="17"/>
      <c r="I1" s="3" t="s">
        <v>4</v>
      </c>
      <c r="J1" s="3" t="s">
        <v>5</v>
      </c>
      <c r="K1" s="3" t="s">
        <v>6</v>
      </c>
      <c r="L1" s="3" t="s">
        <v>7</v>
      </c>
      <c r="M1" s="3" t="s">
        <v>25</v>
      </c>
      <c r="N1" s="3" t="s">
        <v>8</v>
      </c>
      <c r="O1" s="6" t="s">
        <v>26</v>
      </c>
      <c r="Q1" s="15" t="s">
        <v>128</v>
      </c>
      <c r="R1" s="14" t="s">
        <v>126</v>
      </c>
      <c r="T1" s="12" t="s">
        <v>129</v>
      </c>
      <c r="U1" s="12" t="s">
        <v>130</v>
      </c>
      <c r="X1" s="12" t="s">
        <v>131</v>
      </c>
      <c r="Y1" s="12" t="s">
        <v>132</v>
      </c>
    </row>
    <row r="2" spans="1:25" ht="30" x14ac:dyDescent="0.25">
      <c r="A2" s="18" t="s">
        <v>120</v>
      </c>
      <c r="B2" s="1">
        <v>267</v>
      </c>
      <c r="C2" s="1">
        <v>473</v>
      </c>
      <c r="D2" s="4" t="s">
        <v>24</v>
      </c>
      <c r="E2" s="1" t="s">
        <v>22</v>
      </c>
      <c r="F2" s="1">
        <v>0</v>
      </c>
      <c r="G2" s="1" t="s">
        <v>9</v>
      </c>
      <c r="H2" s="1"/>
      <c r="I2" s="1" t="s">
        <v>10</v>
      </c>
      <c r="J2" s="1">
        <v>0</v>
      </c>
      <c r="K2" s="1">
        <v>7</v>
      </c>
      <c r="L2" s="5">
        <v>45615</v>
      </c>
      <c r="M2" s="1" t="s">
        <v>27</v>
      </c>
      <c r="N2" s="5">
        <v>45694</v>
      </c>
      <c r="O2" s="7">
        <v>81</v>
      </c>
      <c r="R2" s="14"/>
    </row>
    <row r="3" spans="1:25" ht="30" x14ac:dyDescent="0.25">
      <c r="A3" s="19"/>
      <c r="B3" s="1">
        <v>257</v>
      </c>
      <c r="C3" s="1">
        <v>482</v>
      </c>
      <c r="D3" s="4" t="s">
        <v>75</v>
      </c>
      <c r="E3" s="1" t="s">
        <v>22</v>
      </c>
      <c r="F3" s="1">
        <v>0</v>
      </c>
      <c r="G3" s="1" t="s">
        <v>9</v>
      </c>
      <c r="H3" s="1"/>
      <c r="I3" s="1" t="s">
        <v>11</v>
      </c>
      <c r="J3" s="1">
        <v>0</v>
      </c>
      <c r="K3" s="1">
        <v>8</v>
      </c>
      <c r="L3" s="5">
        <v>45615</v>
      </c>
      <c r="M3" s="1" t="s">
        <v>28</v>
      </c>
      <c r="N3" s="5">
        <v>45694</v>
      </c>
      <c r="O3" s="7">
        <v>81</v>
      </c>
      <c r="Q3" s="14">
        <v>39.283629571257627</v>
      </c>
      <c r="R3" s="14">
        <v>4.4063567113212505</v>
      </c>
      <c r="T3" s="14">
        <v>37.962962962962955</v>
      </c>
      <c r="U3" s="14">
        <v>4.3391430646332605</v>
      </c>
      <c r="X3" s="14">
        <v>3.361875220565045E-2</v>
      </c>
      <c r="Y3" s="14">
        <v>1.5253791531515825E-2</v>
      </c>
    </row>
    <row r="4" spans="1:25" x14ac:dyDescent="0.25">
      <c r="A4" s="19"/>
      <c r="B4" s="1">
        <v>249</v>
      </c>
      <c r="C4" s="1">
        <v>478</v>
      </c>
      <c r="D4" s="1" t="s">
        <v>76</v>
      </c>
      <c r="E4" s="1" t="s">
        <v>22</v>
      </c>
      <c r="F4" s="1">
        <v>0</v>
      </c>
      <c r="G4" s="1" t="s">
        <v>9</v>
      </c>
      <c r="H4" s="1"/>
      <c r="I4" s="1" t="s">
        <v>12</v>
      </c>
      <c r="J4" s="1">
        <v>0</v>
      </c>
      <c r="K4" s="1">
        <v>7</v>
      </c>
      <c r="L4" s="5">
        <v>45615</v>
      </c>
      <c r="M4" s="1" t="s">
        <v>29</v>
      </c>
      <c r="N4" s="5">
        <v>45694</v>
      </c>
      <c r="O4" s="7">
        <v>81</v>
      </c>
      <c r="Q4" s="14">
        <v>95.226629308583597</v>
      </c>
      <c r="R4" s="14">
        <v>2.7843446283162598</v>
      </c>
      <c r="T4" s="14">
        <v>91.884531590413943</v>
      </c>
      <c r="U4" s="14">
        <v>2.7051561365286854</v>
      </c>
      <c r="X4" s="14">
        <v>3.5096251357795379E-2</v>
      </c>
      <c r="Y4" s="14">
        <v>2.84406215316317E-2</v>
      </c>
    </row>
    <row r="5" spans="1:25" x14ac:dyDescent="0.25">
      <c r="A5" s="19"/>
      <c r="B5" s="1">
        <v>271</v>
      </c>
      <c r="C5" s="1">
        <v>487</v>
      </c>
      <c r="D5" s="4" t="s">
        <v>77</v>
      </c>
      <c r="E5" s="1" t="s">
        <v>22</v>
      </c>
      <c r="F5" s="1">
        <v>0</v>
      </c>
      <c r="G5" s="1" t="s">
        <v>9</v>
      </c>
      <c r="H5" s="1"/>
      <c r="I5" s="1" t="s">
        <v>10</v>
      </c>
      <c r="J5" s="1">
        <v>0</v>
      </c>
      <c r="K5" s="1">
        <v>4</v>
      </c>
      <c r="L5" s="5">
        <v>45615</v>
      </c>
      <c r="M5" s="1" t="s">
        <v>30</v>
      </c>
      <c r="N5" s="5">
        <v>45694</v>
      </c>
      <c r="O5" s="7">
        <v>81</v>
      </c>
      <c r="Q5" s="14">
        <v>64.054519452470601</v>
      </c>
      <c r="R5" s="14">
        <v>2.3377987916995009</v>
      </c>
      <c r="T5" s="14">
        <v>60.330428467683369</v>
      </c>
      <c r="U5" s="14">
        <v>2.3057371096586783</v>
      </c>
      <c r="X5" s="14">
        <v>5.8139394637884409E-2</v>
      </c>
      <c r="Y5" s="14">
        <v>1.3714474553866478E-2</v>
      </c>
    </row>
    <row r="6" spans="1:25" x14ac:dyDescent="0.25">
      <c r="A6" s="19"/>
      <c r="B6" s="1">
        <v>266</v>
      </c>
      <c r="C6" s="1">
        <v>355</v>
      </c>
      <c r="D6" s="4" t="s">
        <v>78</v>
      </c>
      <c r="E6" s="1" t="s">
        <v>22</v>
      </c>
      <c r="F6" s="1">
        <v>0</v>
      </c>
      <c r="G6" s="1" t="s">
        <v>9</v>
      </c>
      <c r="H6" s="1"/>
      <c r="I6" s="1" t="s">
        <v>10</v>
      </c>
      <c r="J6" s="1">
        <v>0</v>
      </c>
      <c r="K6" s="1">
        <v>12</v>
      </c>
      <c r="L6" s="5">
        <v>45615</v>
      </c>
      <c r="M6" s="1" t="s">
        <v>31</v>
      </c>
      <c r="N6" s="5">
        <v>45694</v>
      </c>
      <c r="O6" s="7">
        <v>81</v>
      </c>
      <c r="Q6" s="14">
        <v>32.2301024428684</v>
      </c>
      <c r="R6" s="14">
        <v>0.48594693984764908</v>
      </c>
      <c r="T6" s="14">
        <v>30.755265068990557</v>
      </c>
      <c r="U6" s="14">
        <v>0.47204066811909945</v>
      </c>
      <c r="X6" s="14">
        <v>4.5759624143055823E-2</v>
      </c>
      <c r="Y6" s="14">
        <v>2.861685214626403E-2</v>
      </c>
    </row>
    <row r="7" spans="1:25" x14ac:dyDescent="0.25">
      <c r="A7" s="19"/>
      <c r="B7" s="1">
        <v>274</v>
      </c>
      <c r="C7" s="1">
        <v>474</v>
      </c>
      <c r="D7" s="4" t="s">
        <v>79</v>
      </c>
      <c r="E7" s="1" t="s">
        <v>22</v>
      </c>
      <c r="F7" s="1">
        <v>0</v>
      </c>
      <c r="G7" s="1" t="s">
        <v>9</v>
      </c>
      <c r="H7" s="1"/>
      <c r="I7" s="1" t="s">
        <v>13</v>
      </c>
      <c r="J7" s="1">
        <v>0</v>
      </c>
      <c r="K7" s="1">
        <v>6</v>
      </c>
      <c r="L7" s="5">
        <v>45615</v>
      </c>
      <c r="M7" s="1" t="s">
        <v>32</v>
      </c>
      <c r="N7" s="5">
        <v>45694</v>
      </c>
      <c r="O7" s="7">
        <v>81</v>
      </c>
      <c r="Q7" s="14">
        <v>64.266117969821678</v>
      </c>
      <c r="R7" s="14">
        <v>5.5555555555555562</v>
      </c>
      <c r="T7" s="14">
        <v>61.964415395787938</v>
      </c>
      <c r="U7" s="14">
        <v>5.3921568627450975</v>
      </c>
      <c r="X7" s="14">
        <v>3.5815179860631728E-2</v>
      </c>
      <c r="Y7" s="14">
        <v>2.9411764705882564E-2</v>
      </c>
    </row>
    <row r="8" spans="1:25" ht="30" x14ac:dyDescent="0.25">
      <c r="A8" s="19"/>
      <c r="B8" s="1">
        <v>254</v>
      </c>
      <c r="C8" s="1">
        <v>129</v>
      </c>
      <c r="D8" s="4" t="s">
        <v>80</v>
      </c>
      <c r="E8" s="1" t="s">
        <v>22</v>
      </c>
      <c r="F8" s="1">
        <v>0</v>
      </c>
      <c r="G8" s="1" t="s">
        <v>9</v>
      </c>
      <c r="H8" s="1"/>
      <c r="I8" s="1" t="s">
        <v>11</v>
      </c>
      <c r="J8" s="1">
        <v>0</v>
      </c>
      <c r="K8" s="1">
        <v>2</v>
      </c>
      <c r="L8" s="5">
        <v>45615</v>
      </c>
      <c r="M8" s="1" t="s">
        <v>33</v>
      </c>
      <c r="N8" s="5">
        <v>45694</v>
      </c>
      <c r="O8" s="7">
        <v>81</v>
      </c>
      <c r="Q8" s="14">
        <v>28.003239646265655</v>
      </c>
      <c r="R8" s="14">
        <v>1.2148673496191227</v>
      </c>
      <c r="T8" s="14">
        <v>26.234567901234566</v>
      </c>
      <c r="U8" s="14">
        <v>1.1801016702977487</v>
      </c>
      <c r="X8" s="14">
        <v>6.315954037364202E-2</v>
      </c>
      <c r="Y8" s="14">
        <v>2.861685214626394E-2</v>
      </c>
    </row>
    <row r="9" spans="1:25" ht="30" x14ac:dyDescent="0.25">
      <c r="A9" s="19"/>
      <c r="B9" s="1">
        <v>277</v>
      </c>
      <c r="C9" s="1">
        <v>110</v>
      </c>
      <c r="D9" s="4" t="s">
        <v>81</v>
      </c>
      <c r="E9" s="1" t="s">
        <v>22</v>
      </c>
      <c r="F9" s="1">
        <v>0</v>
      </c>
      <c r="G9" s="1" t="s">
        <v>9</v>
      </c>
      <c r="H9" s="1"/>
      <c r="I9" s="1" t="s">
        <v>11</v>
      </c>
      <c r="J9" s="1">
        <v>0</v>
      </c>
      <c r="K9" s="1">
        <v>2</v>
      </c>
      <c r="L9" s="5">
        <v>45615</v>
      </c>
      <c r="M9" s="1" t="s">
        <v>34</v>
      </c>
      <c r="N9" s="5">
        <v>45694</v>
      </c>
      <c r="O9" s="7">
        <v>81</v>
      </c>
      <c r="Q9" s="14">
        <v>35.549280565041002</v>
      </c>
      <c r="R9" s="14">
        <v>0.93905962700288947</v>
      </c>
      <c r="T9" s="14">
        <v>33.75090777051561</v>
      </c>
      <c r="U9" s="14">
        <v>0.92592592592592593</v>
      </c>
      <c r="X9" s="14">
        <v>5.0588162852834309E-2</v>
      </c>
      <c r="Y9" s="14">
        <v>1.3986013986014045E-2</v>
      </c>
    </row>
    <row r="10" spans="1:25" x14ac:dyDescent="0.25">
      <c r="A10" s="19"/>
      <c r="B10" s="1">
        <v>259</v>
      </c>
      <c r="C10" s="1">
        <v>317</v>
      </c>
      <c r="D10" s="4" t="s">
        <v>82</v>
      </c>
      <c r="E10" s="1" t="s">
        <v>22</v>
      </c>
      <c r="F10" s="1">
        <v>0</v>
      </c>
      <c r="G10" s="1" t="s">
        <v>9</v>
      </c>
      <c r="H10" s="1"/>
      <c r="I10" s="1" t="s">
        <v>12</v>
      </c>
      <c r="J10" s="1">
        <v>0</v>
      </c>
      <c r="K10" s="1">
        <v>6</v>
      </c>
      <c r="L10" s="5">
        <v>45615</v>
      </c>
      <c r="M10" s="1" t="s">
        <v>35</v>
      </c>
      <c r="N10" s="5">
        <v>45694</v>
      </c>
      <c r="O10" s="7">
        <v>81</v>
      </c>
      <c r="R10" s="14">
        <v>0.22983976884686105</v>
      </c>
      <c r="T10" s="14"/>
      <c r="U10" s="14">
        <v>0.23602033405954972</v>
      </c>
      <c r="X10" s="14"/>
      <c r="Y10" s="14">
        <v>-2.6890756302520882E-2</v>
      </c>
    </row>
    <row r="11" spans="1:25" ht="30" x14ac:dyDescent="0.25">
      <c r="A11" s="19"/>
      <c r="B11" s="1">
        <v>273</v>
      </c>
      <c r="C11" s="1">
        <v>269</v>
      </c>
      <c r="D11" s="4" t="s">
        <v>83</v>
      </c>
      <c r="E11" s="1" t="s">
        <v>22</v>
      </c>
      <c r="F11" s="1">
        <v>0</v>
      </c>
      <c r="G11" s="1" t="s">
        <v>9</v>
      </c>
      <c r="H11" s="1"/>
      <c r="I11" s="1" t="s">
        <v>10</v>
      </c>
      <c r="J11" s="1">
        <v>0</v>
      </c>
      <c r="K11" s="1">
        <v>4</v>
      </c>
      <c r="L11" s="5">
        <v>45615</v>
      </c>
      <c r="M11" s="1" t="s">
        <v>36</v>
      </c>
      <c r="N11" s="5">
        <v>45694</v>
      </c>
      <c r="O11" s="7">
        <v>81</v>
      </c>
      <c r="Q11" s="14">
        <v>47.486355543881153</v>
      </c>
      <c r="R11" s="14">
        <v>2.2392960336222747</v>
      </c>
      <c r="T11" s="14">
        <v>44.662309368191714</v>
      </c>
      <c r="U11" s="14">
        <v>2.1786492374727664</v>
      </c>
      <c r="X11" s="14">
        <v>5.9470686755057393E-2</v>
      </c>
      <c r="Y11" s="14">
        <v>2.7082973952044353E-2</v>
      </c>
    </row>
    <row r="12" spans="1:25" ht="30" x14ac:dyDescent="0.25">
      <c r="A12" s="19"/>
      <c r="B12" s="1">
        <v>248</v>
      </c>
      <c r="C12" s="1">
        <v>503</v>
      </c>
      <c r="D12" s="4" t="s">
        <v>84</v>
      </c>
      <c r="E12" s="1" t="s">
        <v>22</v>
      </c>
      <c r="F12" s="1">
        <v>0</v>
      </c>
      <c r="G12" s="1" t="s">
        <v>9</v>
      </c>
      <c r="H12" s="1"/>
      <c r="I12" s="1" t="s">
        <v>11</v>
      </c>
      <c r="J12" s="1">
        <v>0</v>
      </c>
      <c r="K12" s="1">
        <v>3</v>
      </c>
      <c r="L12" s="5">
        <v>45615</v>
      </c>
      <c r="M12" s="1" t="s">
        <v>37</v>
      </c>
      <c r="N12" s="5">
        <v>45694</v>
      </c>
      <c r="O12" s="7">
        <v>81</v>
      </c>
      <c r="Q12" s="14">
        <v>27.033534716749848</v>
      </c>
      <c r="R12" s="14">
        <v>1.773049645390071</v>
      </c>
      <c r="T12" s="14">
        <v>26.579520697167755</v>
      </c>
      <c r="U12" s="14">
        <v>1.7429193899782134</v>
      </c>
      <c r="X12" s="14">
        <v>1.6794474874970319E-2</v>
      </c>
      <c r="Y12" s="14">
        <v>1.6993464052287716E-2</v>
      </c>
    </row>
    <row r="13" spans="1:25" ht="30" x14ac:dyDescent="0.25">
      <c r="A13" s="19"/>
      <c r="B13" s="1">
        <v>272</v>
      </c>
      <c r="C13" s="1">
        <v>395</v>
      </c>
      <c r="D13" s="4" t="s">
        <v>85</v>
      </c>
      <c r="E13" s="1" t="s">
        <v>22</v>
      </c>
      <c r="F13" s="1">
        <v>0</v>
      </c>
      <c r="G13" s="1" t="s">
        <v>9</v>
      </c>
      <c r="H13" s="1"/>
      <c r="I13" s="1" t="s">
        <v>11</v>
      </c>
      <c r="J13" s="1">
        <v>0</v>
      </c>
      <c r="K13" s="1">
        <v>8</v>
      </c>
      <c r="L13" s="5">
        <v>45615</v>
      </c>
      <c r="M13" s="1" t="s">
        <v>38</v>
      </c>
      <c r="N13" s="5">
        <v>45694</v>
      </c>
      <c r="O13" s="7">
        <v>81</v>
      </c>
      <c r="Q13" s="14">
        <v>46.126287832355601</v>
      </c>
      <c r="R13" s="14">
        <v>1.8846861045442609</v>
      </c>
      <c r="T13" s="14">
        <v>43.718228031953515</v>
      </c>
      <c r="U13" s="14">
        <v>1.8518518518518519</v>
      </c>
      <c r="X13" s="14">
        <v>5.2205800934037781E-2</v>
      </c>
      <c r="Y13" s="14">
        <v>1.7421602787456605E-2</v>
      </c>
    </row>
    <row r="14" spans="1:25" ht="30" x14ac:dyDescent="0.25">
      <c r="A14" s="19"/>
      <c r="B14" s="1">
        <v>280</v>
      </c>
      <c r="C14" s="1">
        <v>281</v>
      </c>
      <c r="D14" s="4" t="s">
        <v>86</v>
      </c>
      <c r="E14" s="1" t="s">
        <v>22</v>
      </c>
      <c r="F14" s="1">
        <v>0</v>
      </c>
      <c r="G14" s="1" t="s">
        <v>9</v>
      </c>
      <c r="H14" s="1"/>
      <c r="I14" s="1" t="s">
        <v>10</v>
      </c>
      <c r="J14" s="1">
        <v>0</v>
      </c>
      <c r="K14" s="1">
        <v>9</v>
      </c>
      <c r="L14" s="5">
        <v>45615</v>
      </c>
      <c r="M14" s="1" t="s">
        <v>39</v>
      </c>
      <c r="N14" s="5">
        <v>45694</v>
      </c>
      <c r="O14" s="7">
        <v>81</v>
      </c>
      <c r="R14" s="14">
        <v>0.38744418177042295</v>
      </c>
      <c r="T14" s="14">
        <v>26.851851851851848</v>
      </c>
      <c r="U14" s="14">
        <v>0.38126361655773416</v>
      </c>
      <c r="X14" s="14"/>
      <c r="Y14" s="14">
        <v>1.5952143569292334E-2</v>
      </c>
    </row>
    <row r="15" spans="1:25" x14ac:dyDescent="0.25">
      <c r="A15" s="19"/>
      <c r="B15" s="1">
        <v>255</v>
      </c>
      <c r="C15" s="1">
        <v>275</v>
      </c>
      <c r="D15" s="4" t="s">
        <v>87</v>
      </c>
      <c r="E15" s="1" t="s">
        <v>22</v>
      </c>
      <c r="F15" s="1">
        <v>0</v>
      </c>
      <c r="G15" s="1" t="s">
        <v>9</v>
      </c>
      <c r="H15" s="1"/>
      <c r="I15" s="1" t="s">
        <v>11</v>
      </c>
      <c r="J15" s="1">
        <v>0</v>
      </c>
      <c r="K15" s="1">
        <v>7</v>
      </c>
      <c r="L15" s="5">
        <v>45615</v>
      </c>
      <c r="M15" s="1" t="s">
        <v>40</v>
      </c>
      <c r="N15" s="5">
        <v>45694</v>
      </c>
      <c r="O15" s="7">
        <v>81</v>
      </c>
      <c r="Q15" s="14">
        <v>102.04302016752767</v>
      </c>
      <c r="R15" s="14">
        <v>3.9926451273969006</v>
      </c>
      <c r="T15" s="14"/>
      <c r="U15" s="14"/>
      <c r="X15" s="14"/>
      <c r="Y15" s="14"/>
    </row>
    <row r="16" spans="1:25" ht="45" x14ac:dyDescent="0.25">
      <c r="A16" s="19"/>
      <c r="B16" s="1">
        <v>268</v>
      </c>
      <c r="C16" s="1">
        <v>217</v>
      </c>
      <c r="D16" s="4" t="s">
        <v>14</v>
      </c>
      <c r="E16" s="1" t="s">
        <v>22</v>
      </c>
      <c r="F16" s="1">
        <v>0</v>
      </c>
      <c r="G16" s="1" t="s">
        <v>9</v>
      </c>
      <c r="H16" s="1"/>
      <c r="I16" s="1" t="s">
        <v>15</v>
      </c>
      <c r="J16" s="1">
        <v>0</v>
      </c>
      <c r="K16" s="1">
        <v>6</v>
      </c>
      <c r="L16" s="5">
        <v>45615</v>
      </c>
      <c r="M16" s="1" t="s">
        <v>41</v>
      </c>
      <c r="N16" s="5">
        <v>45694</v>
      </c>
      <c r="O16" s="7">
        <v>81</v>
      </c>
      <c r="Q16" s="14">
        <v>35.16548463356974</v>
      </c>
      <c r="R16" s="14">
        <v>0.63698450223272918</v>
      </c>
      <c r="T16" s="14">
        <v>33.877995642701528</v>
      </c>
      <c r="U16" s="14">
        <v>0.61728395061728392</v>
      </c>
      <c r="X16" s="14">
        <v>3.6612291975613699E-2</v>
      </c>
      <c r="Y16" s="14">
        <v>3.0927835051546438E-2</v>
      </c>
    </row>
    <row r="17" spans="1:25" ht="30" x14ac:dyDescent="0.25">
      <c r="A17" s="19"/>
      <c r="B17" s="1">
        <v>269</v>
      </c>
      <c r="C17" s="1">
        <v>226</v>
      </c>
      <c r="D17" s="4" t="s">
        <v>16</v>
      </c>
      <c r="E17" s="1" t="s">
        <v>22</v>
      </c>
      <c r="F17" s="1">
        <v>0</v>
      </c>
      <c r="G17" s="1" t="s">
        <v>9</v>
      </c>
      <c r="H17" s="1"/>
      <c r="I17" s="1" t="s">
        <v>10</v>
      </c>
      <c r="J17" s="1">
        <v>0</v>
      </c>
      <c r="K17" s="1">
        <v>4</v>
      </c>
      <c r="L17" s="5">
        <v>45615</v>
      </c>
      <c r="M17" s="1" t="s">
        <v>42</v>
      </c>
      <c r="N17" s="5">
        <v>45694</v>
      </c>
      <c r="O17" s="7">
        <v>81</v>
      </c>
      <c r="Q17" s="14">
        <v>41.603916761521177</v>
      </c>
      <c r="R17" s="14">
        <v>2.2918308379301284</v>
      </c>
      <c r="T17" s="14">
        <v>39.161220043572982</v>
      </c>
      <c r="U17" s="14">
        <v>2.233115468409586</v>
      </c>
      <c r="X17" s="14">
        <v>5.8713143090590149E-2</v>
      </c>
      <c r="Y17" s="14">
        <v>2.5619416821169649E-2</v>
      </c>
    </row>
    <row r="18" spans="1:25" ht="30" x14ac:dyDescent="0.25">
      <c r="A18" s="19"/>
      <c r="B18" s="1">
        <v>275</v>
      </c>
      <c r="C18" s="1">
        <v>316</v>
      </c>
      <c r="D18" s="4" t="s">
        <v>17</v>
      </c>
      <c r="E18" s="1" t="s">
        <v>22</v>
      </c>
      <c r="F18" s="1">
        <v>0</v>
      </c>
      <c r="G18" s="1" t="s">
        <v>9</v>
      </c>
      <c r="H18" s="1"/>
      <c r="I18" s="1" t="s">
        <v>18</v>
      </c>
      <c r="J18" s="1">
        <v>0</v>
      </c>
      <c r="K18" s="1">
        <v>8</v>
      </c>
      <c r="L18" s="5">
        <v>45615</v>
      </c>
      <c r="M18" s="1" t="s">
        <v>43</v>
      </c>
      <c r="N18" s="5">
        <v>45694</v>
      </c>
      <c r="O18" s="7">
        <v>81</v>
      </c>
      <c r="Q18" s="14">
        <v>43.54186732043312</v>
      </c>
      <c r="R18" s="14">
        <v>1.4512739690044656</v>
      </c>
      <c r="T18" s="14">
        <v>42.683369644153956</v>
      </c>
      <c r="U18" s="14">
        <v>1.4342774146695714</v>
      </c>
      <c r="X18" s="14">
        <v>1.9716602183395392E-2</v>
      </c>
      <c r="Y18" s="14">
        <v>1.1711471919084577E-2</v>
      </c>
    </row>
    <row r="19" spans="1:25" ht="30" x14ac:dyDescent="0.25">
      <c r="A19" s="19"/>
      <c r="B19" s="1">
        <v>260</v>
      </c>
      <c r="C19" s="1">
        <v>361</v>
      </c>
      <c r="D19" s="4" t="s">
        <v>88</v>
      </c>
      <c r="E19" s="1" t="s">
        <v>22</v>
      </c>
      <c r="F19" s="1">
        <v>0</v>
      </c>
      <c r="G19" s="1" t="s">
        <v>9</v>
      </c>
      <c r="H19" s="1"/>
      <c r="I19" s="1" t="s">
        <v>11</v>
      </c>
      <c r="J19" s="1">
        <v>0</v>
      </c>
      <c r="K19" s="1">
        <v>2</v>
      </c>
      <c r="L19" s="5">
        <v>45615</v>
      </c>
      <c r="M19" s="1" t="s">
        <v>44</v>
      </c>
      <c r="N19" s="5">
        <v>45694</v>
      </c>
      <c r="O19" s="7">
        <v>81</v>
      </c>
      <c r="Q19" s="14">
        <v>23.349531564661589</v>
      </c>
      <c r="R19" s="14">
        <v>1.1360651431573419</v>
      </c>
      <c r="T19" s="14">
        <v>22.676107480029049</v>
      </c>
      <c r="U19" s="14">
        <v>1.1074800290486564</v>
      </c>
      <c r="X19" s="14">
        <v>2.8841010483128295E-2</v>
      </c>
      <c r="Y19" s="14">
        <v>2.5161509690581636E-2</v>
      </c>
    </row>
    <row r="20" spans="1:25" x14ac:dyDescent="0.25">
      <c r="A20" s="19"/>
      <c r="B20" s="1">
        <v>262</v>
      </c>
      <c r="C20" s="1">
        <v>477</v>
      </c>
      <c r="D20" s="4" t="s">
        <v>89</v>
      </c>
      <c r="E20" s="1" t="s">
        <v>22</v>
      </c>
      <c r="F20" s="1">
        <v>0</v>
      </c>
      <c r="G20" s="1" t="s">
        <v>9</v>
      </c>
      <c r="H20" s="1"/>
      <c r="I20" s="1" t="s">
        <v>13</v>
      </c>
      <c r="J20" s="1">
        <v>0</v>
      </c>
      <c r="K20" s="1">
        <v>10</v>
      </c>
      <c r="L20" s="5">
        <v>45615</v>
      </c>
      <c r="M20" s="1" t="s">
        <v>45</v>
      </c>
      <c r="N20" s="5">
        <v>45694</v>
      </c>
      <c r="O20" s="7">
        <v>81</v>
      </c>
      <c r="Q20" s="14">
        <v>64.827948515891777</v>
      </c>
      <c r="R20" s="14">
        <v>3.0732860520094563</v>
      </c>
      <c r="T20" s="14">
        <v>63.616557734204783</v>
      </c>
      <c r="U20" s="14">
        <v>3.0137981118373278</v>
      </c>
      <c r="X20" s="14">
        <v>1.8686242730479686E-2</v>
      </c>
      <c r="Y20" s="14">
        <v>1.9356460532931025E-2</v>
      </c>
    </row>
    <row r="21" spans="1:25" x14ac:dyDescent="0.25">
      <c r="A21" s="19"/>
      <c r="B21" s="1">
        <v>244</v>
      </c>
      <c r="C21" s="1">
        <v>492</v>
      </c>
      <c r="D21" s="4" t="s">
        <v>90</v>
      </c>
      <c r="E21" s="1" t="s">
        <v>22</v>
      </c>
      <c r="F21" s="1">
        <v>0</v>
      </c>
      <c r="G21" s="1" t="s">
        <v>9</v>
      </c>
      <c r="H21" s="1"/>
      <c r="I21" s="1" t="s">
        <v>19</v>
      </c>
      <c r="J21" s="1">
        <v>0</v>
      </c>
      <c r="K21" s="1">
        <v>9</v>
      </c>
      <c r="L21" s="5">
        <v>45615</v>
      </c>
      <c r="M21" s="1" t="s">
        <v>46</v>
      </c>
      <c r="N21" s="5">
        <v>45694</v>
      </c>
      <c r="O21" s="7">
        <v>81</v>
      </c>
      <c r="Q21" s="14">
        <v>56.172839506172842</v>
      </c>
      <c r="R21" s="14"/>
      <c r="T21" s="14"/>
      <c r="U21" s="14"/>
      <c r="X21" s="14"/>
      <c r="Y21" s="14"/>
    </row>
    <row r="22" spans="1:25" ht="30" x14ac:dyDescent="0.25">
      <c r="A22" s="19"/>
      <c r="B22" s="1">
        <v>279</v>
      </c>
      <c r="C22" s="1">
        <v>444</v>
      </c>
      <c r="D22" s="4" t="s">
        <v>91</v>
      </c>
      <c r="E22" s="1" t="s">
        <v>22</v>
      </c>
      <c r="F22" s="1">
        <v>0</v>
      </c>
      <c r="G22" s="1" t="s">
        <v>9</v>
      </c>
      <c r="H22" s="1"/>
      <c r="I22" s="1" t="s">
        <v>20</v>
      </c>
      <c r="J22" s="1">
        <v>0</v>
      </c>
      <c r="K22" s="1">
        <v>10</v>
      </c>
      <c r="L22" s="5">
        <v>45615</v>
      </c>
      <c r="M22" s="1" t="s">
        <v>47</v>
      </c>
      <c r="N22" s="5">
        <v>45694</v>
      </c>
      <c r="O22" s="7">
        <v>81</v>
      </c>
      <c r="Q22" s="14">
        <v>46.319645098210898</v>
      </c>
      <c r="R22" s="14">
        <v>2.3771998949303916</v>
      </c>
      <c r="T22" s="14">
        <v>44.862018881626724</v>
      </c>
      <c r="U22" s="14">
        <v>2.3420479302832242</v>
      </c>
      <c r="X22" s="14">
        <v>3.1468855460649349E-2</v>
      </c>
      <c r="Y22" s="14">
        <v>1.4787130321742135E-2</v>
      </c>
    </row>
    <row r="23" spans="1:25" ht="30" x14ac:dyDescent="0.25">
      <c r="A23" s="19"/>
      <c r="B23" s="1">
        <v>270</v>
      </c>
      <c r="C23" s="1">
        <v>372</v>
      </c>
      <c r="D23" s="4" t="s">
        <v>92</v>
      </c>
      <c r="E23" s="1" t="s">
        <v>22</v>
      </c>
      <c r="F23" s="1">
        <v>0</v>
      </c>
      <c r="G23" s="1" t="s">
        <v>9</v>
      </c>
      <c r="H23" s="1"/>
      <c r="I23" s="1" t="s">
        <v>21</v>
      </c>
      <c r="J23" s="1">
        <v>0</v>
      </c>
      <c r="K23" s="1">
        <v>4</v>
      </c>
      <c r="L23" s="5">
        <v>45615</v>
      </c>
      <c r="M23" s="1" t="s">
        <v>48</v>
      </c>
      <c r="N23" s="5">
        <v>45694</v>
      </c>
      <c r="O23" s="7">
        <v>81</v>
      </c>
      <c r="Q23" s="14">
        <v>85.584303767912914</v>
      </c>
      <c r="R23" s="14">
        <v>4.1962174940898347</v>
      </c>
      <c r="T23" s="14">
        <v>80.501089324618718</v>
      </c>
      <c r="U23" s="14">
        <v>4.1031227305737108</v>
      </c>
      <c r="X23" s="14">
        <v>5.9394237254985813E-2</v>
      </c>
      <c r="Y23" s="14">
        <v>2.2185399981588961E-2</v>
      </c>
    </row>
    <row r="24" spans="1:25" x14ac:dyDescent="0.25">
      <c r="A24" s="19"/>
      <c r="B24" s="1">
        <v>276</v>
      </c>
      <c r="C24" s="1">
        <v>480</v>
      </c>
      <c r="D24" s="4" t="s">
        <v>93</v>
      </c>
      <c r="E24" s="1" t="s">
        <v>22</v>
      </c>
      <c r="F24" s="1">
        <v>0</v>
      </c>
      <c r="G24" s="1" t="s">
        <v>9</v>
      </c>
      <c r="H24" s="1"/>
      <c r="I24" s="1" t="s">
        <v>11</v>
      </c>
      <c r="J24" s="1">
        <v>0</v>
      </c>
      <c r="K24" s="1">
        <v>10</v>
      </c>
      <c r="L24" s="5">
        <v>45615</v>
      </c>
      <c r="M24" s="1" t="s">
        <v>49</v>
      </c>
      <c r="N24" s="5">
        <v>45694</v>
      </c>
      <c r="O24" s="7">
        <v>81</v>
      </c>
      <c r="R24" s="14"/>
      <c r="T24" s="14"/>
      <c r="U24" s="14"/>
      <c r="X24" s="14"/>
      <c r="Y24" s="14"/>
    </row>
    <row r="25" spans="1:25" ht="30" x14ac:dyDescent="0.25">
      <c r="A25" s="19" t="s">
        <v>121</v>
      </c>
      <c r="B25" s="1">
        <v>256</v>
      </c>
      <c r="C25" s="1">
        <v>249</v>
      </c>
      <c r="D25" s="4" t="s">
        <v>94</v>
      </c>
      <c r="E25" s="1" t="s">
        <v>22</v>
      </c>
      <c r="F25" s="1">
        <v>0</v>
      </c>
      <c r="G25" s="1" t="s">
        <v>9</v>
      </c>
      <c r="H25" s="1"/>
      <c r="I25" s="1" t="s">
        <v>10</v>
      </c>
      <c r="J25" s="1">
        <v>0</v>
      </c>
      <c r="K25" s="1">
        <v>7</v>
      </c>
      <c r="L25" s="5">
        <v>45641</v>
      </c>
      <c r="M25" s="1" t="s">
        <v>50</v>
      </c>
      <c r="N25" s="5">
        <v>45731</v>
      </c>
      <c r="O25" s="7">
        <v>90</v>
      </c>
      <c r="Q25" s="14">
        <v>44.475308641975317</v>
      </c>
      <c r="R25" s="14">
        <v>4.166666666666667</v>
      </c>
      <c r="T25" s="14">
        <v>42.777777777777779</v>
      </c>
      <c r="U25" s="14">
        <v>4.117647058823529</v>
      </c>
      <c r="X25" s="14">
        <v>3.8167938931297885E-2</v>
      </c>
      <c r="Y25" s="14">
        <v>1.1764705882353111E-2</v>
      </c>
    </row>
    <row r="26" spans="1:25" ht="30" x14ac:dyDescent="0.25">
      <c r="A26" s="19"/>
      <c r="B26" s="1">
        <v>232</v>
      </c>
      <c r="C26" s="1">
        <v>387</v>
      </c>
      <c r="D26" s="4" t="s">
        <v>95</v>
      </c>
      <c r="E26" s="1" t="s">
        <v>22</v>
      </c>
      <c r="F26" s="1">
        <v>0</v>
      </c>
      <c r="G26" s="1" t="s">
        <v>9</v>
      </c>
      <c r="H26" s="1"/>
      <c r="I26" s="1" t="s">
        <v>11</v>
      </c>
      <c r="J26" s="1">
        <v>0</v>
      </c>
      <c r="K26" s="1">
        <v>8</v>
      </c>
      <c r="L26" s="5">
        <v>45641</v>
      </c>
      <c r="M26" s="1" t="s">
        <v>51</v>
      </c>
      <c r="N26" s="5">
        <v>45731</v>
      </c>
      <c r="O26" s="7">
        <v>90</v>
      </c>
      <c r="Q26" s="14">
        <v>23.546099290780141</v>
      </c>
      <c r="R26" s="14">
        <v>3.1205673758865249</v>
      </c>
      <c r="T26" s="14">
        <v>22.401960784313722</v>
      </c>
      <c r="U26" s="14">
        <v>3.0882352941176472</v>
      </c>
      <c r="X26" s="14">
        <v>4.8591424521615988E-2</v>
      </c>
      <c r="Y26" s="14">
        <v>1.0360962566844899E-2</v>
      </c>
    </row>
    <row r="27" spans="1:25" ht="30" x14ac:dyDescent="0.25">
      <c r="A27" s="19"/>
      <c r="B27" s="1">
        <v>250</v>
      </c>
      <c r="C27" s="1">
        <v>349</v>
      </c>
      <c r="D27" s="4" t="s">
        <v>96</v>
      </c>
      <c r="E27" s="1" t="s">
        <v>22</v>
      </c>
      <c r="F27" s="1">
        <v>0</v>
      </c>
      <c r="G27" s="1" t="s">
        <v>9</v>
      </c>
      <c r="H27" s="1"/>
      <c r="I27" s="1" t="s">
        <v>12</v>
      </c>
      <c r="J27" s="1">
        <v>0</v>
      </c>
      <c r="K27" s="1">
        <v>7</v>
      </c>
      <c r="L27" s="5">
        <v>45641</v>
      </c>
      <c r="M27" s="1" t="s">
        <v>52</v>
      </c>
      <c r="N27" s="5">
        <v>45731</v>
      </c>
      <c r="O27" s="7">
        <v>90</v>
      </c>
      <c r="Q27" s="14">
        <v>29.038613081166279</v>
      </c>
      <c r="R27" s="14">
        <v>2.2576832151300237</v>
      </c>
      <c r="T27" s="14">
        <v>28.022875816993459</v>
      </c>
      <c r="U27" s="14">
        <v>2.2058823529411762</v>
      </c>
      <c r="X27" s="14">
        <v>3.4978849070157629E-2</v>
      </c>
      <c r="Y27" s="14">
        <v>2.2944256236526166E-2</v>
      </c>
    </row>
    <row r="28" spans="1:25" ht="30" x14ac:dyDescent="0.25">
      <c r="A28" s="19"/>
      <c r="B28" s="1">
        <v>238</v>
      </c>
      <c r="C28" s="1">
        <v>345</v>
      </c>
      <c r="D28" s="4" t="s">
        <v>97</v>
      </c>
      <c r="E28" s="1" t="s">
        <v>22</v>
      </c>
      <c r="F28" s="1">
        <v>0</v>
      </c>
      <c r="G28" s="1" t="s">
        <v>9</v>
      </c>
      <c r="H28" s="1"/>
      <c r="I28" s="1" t="s">
        <v>10</v>
      </c>
      <c r="J28" s="1">
        <v>0</v>
      </c>
      <c r="K28" s="1">
        <v>4</v>
      </c>
      <c r="L28" s="5">
        <v>45641</v>
      </c>
      <c r="M28" s="1" t="s">
        <v>53</v>
      </c>
      <c r="N28" s="5">
        <v>45731</v>
      </c>
      <c r="O28" s="7">
        <v>90</v>
      </c>
      <c r="R28" s="14"/>
      <c r="T28" s="14"/>
      <c r="U28" s="14"/>
      <c r="X28" s="14"/>
      <c r="Y28" s="14"/>
    </row>
    <row r="29" spans="1:25" ht="30" x14ac:dyDescent="0.25">
      <c r="A29" s="19"/>
      <c r="B29" s="1">
        <v>241</v>
      </c>
      <c r="C29" s="1">
        <v>172</v>
      </c>
      <c r="D29" s="4" t="s">
        <v>98</v>
      </c>
      <c r="E29" s="1" t="s">
        <v>22</v>
      </c>
      <c r="F29" s="1">
        <v>0</v>
      </c>
      <c r="G29" s="1" t="s">
        <v>9</v>
      </c>
      <c r="H29" s="1"/>
      <c r="I29" s="1" t="s">
        <v>10</v>
      </c>
      <c r="J29" s="1">
        <v>0</v>
      </c>
      <c r="K29" s="1">
        <v>12</v>
      </c>
      <c r="L29" s="5">
        <v>45641</v>
      </c>
      <c r="M29" s="1" t="s">
        <v>54</v>
      </c>
      <c r="N29" s="5">
        <v>45731</v>
      </c>
      <c r="O29" s="7">
        <v>90</v>
      </c>
      <c r="Q29" s="14">
        <v>31.296296296296294</v>
      </c>
      <c r="R29" s="14">
        <v>3.8888888888888888</v>
      </c>
      <c r="T29" s="14">
        <v>30.457516339869279</v>
      </c>
      <c r="U29" s="14">
        <v>3.856209150326797</v>
      </c>
      <c r="X29" s="14">
        <v>2.6801253045596919E-2</v>
      </c>
      <c r="Y29" s="14">
        <v>8.4033613445378998E-3</v>
      </c>
    </row>
    <row r="30" spans="1:25" ht="30" x14ac:dyDescent="0.25">
      <c r="A30" s="19"/>
      <c r="B30" s="1">
        <v>263</v>
      </c>
      <c r="C30" s="1">
        <v>457</v>
      </c>
      <c r="D30" s="4" t="s">
        <v>99</v>
      </c>
      <c r="E30" s="1" t="s">
        <v>22</v>
      </c>
      <c r="F30" s="1">
        <v>0</v>
      </c>
      <c r="G30" s="1" t="s">
        <v>9</v>
      </c>
      <c r="H30" s="1"/>
      <c r="I30" s="1" t="s">
        <v>13</v>
      </c>
      <c r="J30" s="1">
        <v>0</v>
      </c>
      <c r="K30" s="1">
        <v>6</v>
      </c>
      <c r="L30" s="5">
        <v>45641</v>
      </c>
      <c r="M30" s="1" t="s">
        <v>55</v>
      </c>
      <c r="N30" s="5">
        <v>45731</v>
      </c>
      <c r="O30" s="7">
        <v>90</v>
      </c>
      <c r="Q30" s="14">
        <v>18.488967691095347</v>
      </c>
      <c r="R30" s="14">
        <v>5.585106382978724</v>
      </c>
      <c r="T30" s="14">
        <v>17.516339869281047</v>
      </c>
      <c r="U30" s="14">
        <v>5.522875816993464</v>
      </c>
      <c r="X30" s="14">
        <v>5.2605847879908206E-2</v>
      </c>
      <c r="Y30" s="14">
        <v>1.1142234671646552E-2</v>
      </c>
    </row>
    <row r="31" spans="1:25" ht="30" x14ac:dyDescent="0.25">
      <c r="A31" s="19"/>
      <c r="B31" s="1">
        <v>253</v>
      </c>
      <c r="C31" s="1">
        <v>50</v>
      </c>
      <c r="D31" s="4" t="s">
        <v>100</v>
      </c>
      <c r="E31" s="1" t="s">
        <v>22</v>
      </c>
      <c r="F31" s="1">
        <v>0</v>
      </c>
      <c r="G31" s="1" t="s">
        <v>9</v>
      </c>
      <c r="H31" s="1"/>
      <c r="I31" s="1" t="s">
        <v>11</v>
      </c>
      <c r="J31" s="1">
        <v>0</v>
      </c>
      <c r="K31" s="1">
        <v>2</v>
      </c>
      <c r="L31" s="5">
        <v>45641</v>
      </c>
      <c r="M31" s="1" t="s">
        <v>56</v>
      </c>
      <c r="N31" s="5">
        <v>45731</v>
      </c>
      <c r="O31" s="7">
        <v>90</v>
      </c>
      <c r="Q31" s="14">
        <v>37.552534804307854</v>
      </c>
      <c r="R31" s="14">
        <v>7.5709219858156027</v>
      </c>
      <c r="T31" s="14">
        <v>35.147058823529413</v>
      </c>
      <c r="U31" s="14">
        <v>7.3366013071895422</v>
      </c>
      <c r="X31" s="14">
        <v>6.4056287899438832E-2</v>
      </c>
      <c r="Y31" s="14">
        <v>3.0950084952013616E-2</v>
      </c>
    </row>
    <row r="32" spans="1:25" ht="30" x14ac:dyDescent="0.25">
      <c r="A32" s="19"/>
      <c r="B32" s="1">
        <v>251</v>
      </c>
      <c r="C32" s="1">
        <v>276</v>
      </c>
      <c r="D32" s="4" t="s">
        <v>101</v>
      </c>
      <c r="E32" s="1" t="s">
        <v>22</v>
      </c>
      <c r="F32" s="1">
        <v>0</v>
      </c>
      <c r="G32" s="1" t="s">
        <v>9</v>
      </c>
      <c r="H32" s="1"/>
      <c r="I32" s="1" t="s">
        <v>11</v>
      </c>
      <c r="J32" s="1">
        <v>0</v>
      </c>
      <c r="K32" s="1">
        <v>2</v>
      </c>
      <c r="L32" s="5">
        <v>45641</v>
      </c>
      <c r="M32" s="1" t="s">
        <v>57</v>
      </c>
      <c r="N32" s="5">
        <v>45731</v>
      </c>
      <c r="O32" s="7">
        <v>90</v>
      </c>
      <c r="Q32" s="14">
        <v>25.696742842132913</v>
      </c>
      <c r="R32" s="14">
        <v>2.2044917257683219</v>
      </c>
      <c r="T32" s="14">
        <v>24.460784313725487</v>
      </c>
      <c r="U32" s="14">
        <v>2.1732026143790848</v>
      </c>
      <c r="X32" s="14">
        <v>4.809786734453065E-2</v>
      </c>
      <c r="Y32" s="14">
        <v>1.4193344898281262E-2</v>
      </c>
    </row>
    <row r="33" spans="1:25" ht="30" x14ac:dyDescent="0.25">
      <c r="A33" s="19"/>
      <c r="B33" s="1">
        <v>235</v>
      </c>
      <c r="C33" s="1">
        <v>405</v>
      </c>
      <c r="D33" s="4" t="s">
        <v>102</v>
      </c>
      <c r="E33" s="1" t="s">
        <v>22</v>
      </c>
      <c r="F33" s="1">
        <v>0</v>
      </c>
      <c r="G33" s="1" t="s">
        <v>9</v>
      </c>
      <c r="H33" s="1"/>
      <c r="I33" s="1" t="s">
        <v>12</v>
      </c>
      <c r="J33" s="1">
        <v>0</v>
      </c>
      <c r="K33" s="1">
        <v>6</v>
      </c>
      <c r="L33" s="5">
        <v>45641</v>
      </c>
      <c r="M33" s="1" t="s">
        <v>58</v>
      </c>
      <c r="N33" s="5">
        <v>45731</v>
      </c>
      <c r="O33" s="7">
        <v>90</v>
      </c>
      <c r="Q33" s="14">
        <v>40.883898082479647</v>
      </c>
      <c r="R33" s="14">
        <v>2.9432624113475176</v>
      </c>
      <c r="T33" s="14">
        <v>39.91830065359477</v>
      </c>
      <c r="U33" s="14">
        <v>2.8921568627450975</v>
      </c>
      <c r="X33" s="14">
        <v>2.3618037275625465E-2</v>
      </c>
      <c r="Y33" s="14">
        <v>1.736357193479816E-2</v>
      </c>
    </row>
    <row r="34" spans="1:25" ht="30" x14ac:dyDescent="0.25">
      <c r="A34" s="19"/>
      <c r="B34" s="1">
        <v>264</v>
      </c>
      <c r="C34" s="1">
        <v>363</v>
      </c>
      <c r="D34" s="4" t="s">
        <v>103</v>
      </c>
      <c r="E34" s="1" t="s">
        <v>22</v>
      </c>
      <c r="F34" s="1">
        <v>0</v>
      </c>
      <c r="G34" s="1" t="s">
        <v>9</v>
      </c>
      <c r="H34" s="1"/>
      <c r="I34" s="1" t="s">
        <v>10</v>
      </c>
      <c r="J34" s="1">
        <v>0</v>
      </c>
      <c r="K34" s="1">
        <v>4</v>
      </c>
      <c r="L34" s="5">
        <v>45641</v>
      </c>
      <c r="M34" s="1" t="s">
        <v>59</v>
      </c>
      <c r="N34" s="5">
        <v>45731</v>
      </c>
      <c r="O34" s="7">
        <v>90</v>
      </c>
      <c r="Q34" s="14">
        <v>33.605857630680326</v>
      </c>
      <c r="R34" s="14">
        <v>1.8262411347517731</v>
      </c>
      <c r="T34" s="14">
        <v>32.222222222222214</v>
      </c>
      <c r="U34" s="14">
        <v>1.7647058823529409</v>
      </c>
      <c r="X34" s="14">
        <v>4.1172447484123353E-2</v>
      </c>
      <c r="Y34" s="14">
        <v>3.3695031410622668E-2</v>
      </c>
    </row>
    <row r="35" spans="1:25" ht="30" x14ac:dyDescent="0.25">
      <c r="A35" s="19"/>
      <c r="B35" s="1">
        <v>258</v>
      </c>
      <c r="C35" s="1">
        <v>253</v>
      </c>
      <c r="D35" s="4" t="s">
        <v>104</v>
      </c>
      <c r="E35" s="1" t="s">
        <v>22</v>
      </c>
      <c r="F35" s="1">
        <v>0</v>
      </c>
      <c r="G35" s="1" t="s">
        <v>9</v>
      </c>
      <c r="H35" s="1"/>
      <c r="I35" s="1" t="s">
        <v>11</v>
      </c>
      <c r="J35" s="1">
        <v>0</v>
      </c>
      <c r="K35" s="1">
        <v>3</v>
      </c>
      <c r="L35" s="5">
        <v>45641</v>
      </c>
      <c r="M35" s="1" t="s">
        <v>60</v>
      </c>
      <c r="N35" s="5">
        <v>45731</v>
      </c>
      <c r="O35" s="7">
        <v>90</v>
      </c>
      <c r="Q35" s="14">
        <v>39.520619910690833</v>
      </c>
      <c r="R35" s="14">
        <v>3.3806146572104017</v>
      </c>
      <c r="T35" s="14">
        <v>37.712418300653589</v>
      </c>
      <c r="U35" s="14">
        <v>3.3006535947712417</v>
      </c>
      <c r="X35" s="14">
        <v>4.5753371635451054E-2</v>
      </c>
      <c r="Y35" s="14">
        <v>2.3652817770464817E-2</v>
      </c>
    </row>
    <row r="36" spans="1:25" x14ac:dyDescent="0.25">
      <c r="A36" s="19"/>
      <c r="B36" s="1">
        <v>243</v>
      </c>
      <c r="C36" s="1">
        <v>76</v>
      </c>
      <c r="D36" s="4" t="s">
        <v>105</v>
      </c>
      <c r="E36" s="1" t="s">
        <v>22</v>
      </c>
      <c r="F36" s="1">
        <v>0</v>
      </c>
      <c r="G36" s="1" t="s">
        <v>9</v>
      </c>
      <c r="H36" s="1"/>
      <c r="I36" s="1" t="s">
        <v>11</v>
      </c>
      <c r="J36" s="1">
        <v>0</v>
      </c>
      <c r="K36" s="1">
        <v>8</v>
      </c>
      <c r="L36" s="5">
        <v>45641</v>
      </c>
      <c r="M36" s="1" t="s">
        <v>61</v>
      </c>
      <c r="N36" s="5">
        <v>45731</v>
      </c>
      <c r="O36" s="7">
        <v>90</v>
      </c>
      <c r="Q36" s="14">
        <v>63.292618859994739</v>
      </c>
      <c r="R36" s="14">
        <v>4.3617021276595747</v>
      </c>
      <c r="T36" s="14">
        <v>60.588235294117645</v>
      </c>
      <c r="U36" s="14">
        <v>4.2810457516339868</v>
      </c>
      <c r="X36" s="14">
        <v>4.2728261440078436E-2</v>
      </c>
      <c r="Y36" s="14">
        <v>1.8491949625378673E-2</v>
      </c>
    </row>
    <row r="37" spans="1:25" ht="30" x14ac:dyDescent="0.25">
      <c r="A37" s="19"/>
      <c r="B37" s="1">
        <v>247</v>
      </c>
      <c r="C37" s="1">
        <v>399</v>
      </c>
      <c r="D37" s="4" t="s">
        <v>106</v>
      </c>
      <c r="E37" s="1" t="s">
        <v>22</v>
      </c>
      <c r="F37" s="1">
        <v>0</v>
      </c>
      <c r="G37" s="1" t="s">
        <v>9</v>
      </c>
      <c r="H37" s="1"/>
      <c r="I37" s="1" t="s">
        <v>10</v>
      </c>
      <c r="J37" s="1">
        <v>0</v>
      </c>
      <c r="K37" s="1">
        <v>9</v>
      </c>
      <c r="L37" s="5">
        <v>45641</v>
      </c>
      <c r="M37" s="1" t="s">
        <v>62</v>
      </c>
      <c r="N37" s="5">
        <v>45731</v>
      </c>
      <c r="O37" s="7">
        <v>90</v>
      </c>
      <c r="Q37" s="14">
        <v>14.011688993958497</v>
      </c>
      <c r="R37" s="14">
        <v>3.4574468085106385</v>
      </c>
      <c r="T37" s="14">
        <v>13.398692810457513</v>
      </c>
      <c r="U37" s="14">
        <v>3.4313725490196076</v>
      </c>
      <c r="X37" s="14">
        <v>4.3748914478853568E-2</v>
      </c>
      <c r="Y37" s="14">
        <v>7.541478129713528E-3</v>
      </c>
    </row>
    <row r="38" spans="1:25" ht="30" x14ac:dyDescent="0.25">
      <c r="A38" s="19"/>
      <c r="B38" s="1">
        <v>245</v>
      </c>
      <c r="C38" s="1">
        <v>368</v>
      </c>
      <c r="D38" s="4" t="s">
        <v>107</v>
      </c>
      <c r="E38" s="1" t="s">
        <v>22</v>
      </c>
      <c r="F38" s="1">
        <v>0</v>
      </c>
      <c r="G38" s="1" t="s">
        <v>9</v>
      </c>
      <c r="H38" s="1"/>
      <c r="I38" s="1" t="s">
        <v>11</v>
      </c>
      <c r="J38" s="1">
        <v>0</v>
      </c>
      <c r="K38" s="1">
        <v>7</v>
      </c>
      <c r="L38" s="5">
        <v>45641</v>
      </c>
      <c r="M38" s="1" t="s">
        <v>63</v>
      </c>
      <c r="N38" s="5">
        <v>45731</v>
      </c>
      <c r="O38" s="7">
        <v>90</v>
      </c>
      <c r="Q38" s="14">
        <v>26.418439716312058</v>
      </c>
      <c r="R38" s="14">
        <v>8.5815602836879439</v>
      </c>
      <c r="T38" s="14"/>
      <c r="U38" s="14">
        <v>8.4313725490196081</v>
      </c>
      <c r="X38" s="14"/>
      <c r="Y38" s="14">
        <v>1.7501215362177972E-2</v>
      </c>
    </row>
    <row r="39" spans="1:25" ht="30" x14ac:dyDescent="0.25">
      <c r="A39" s="19"/>
      <c r="B39" s="1">
        <v>246</v>
      </c>
      <c r="C39" s="1">
        <v>284</v>
      </c>
      <c r="D39" s="4" t="s">
        <v>108</v>
      </c>
      <c r="E39" s="1" t="s">
        <v>22</v>
      </c>
      <c r="F39" s="1">
        <v>0</v>
      </c>
      <c r="G39" s="1" t="s">
        <v>9</v>
      </c>
      <c r="H39" s="1"/>
      <c r="I39" s="1" t="s">
        <v>15</v>
      </c>
      <c r="J39" s="1">
        <v>0</v>
      </c>
      <c r="K39" s="1">
        <v>6</v>
      </c>
      <c r="L39" s="5">
        <v>45641</v>
      </c>
      <c r="M39" s="1" t="s">
        <v>64</v>
      </c>
      <c r="N39" s="5">
        <v>45731</v>
      </c>
      <c r="O39" s="7">
        <v>90</v>
      </c>
      <c r="Q39" s="14">
        <v>64.146966115051228</v>
      </c>
      <c r="R39" s="14">
        <v>8.4456264775413725</v>
      </c>
      <c r="T39" s="14">
        <v>61.029411764705877</v>
      </c>
      <c r="U39" s="14">
        <v>8.0882352941176467</v>
      </c>
      <c r="X39" s="14">
        <v>4.8600183908212281E-2</v>
      </c>
      <c r="Y39" s="14">
        <v>4.2316716749681169E-2</v>
      </c>
    </row>
    <row r="40" spans="1:25" ht="30" x14ac:dyDescent="0.25">
      <c r="A40" s="19"/>
      <c r="B40" s="1">
        <v>278</v>
      </c>
      <c r="C40" s="1">
        <v>96</v>
      </c>
      <c r="D40" s="4" t="s">
        <v>109</v>
      </c>
      <c r="E40" s="1" t="s">
        <v>22</v>
      </c>
      <c r="F40" s="1">
        <v>0</v>
      </c>
      <c r="G40" s="1" t="s">
        <v>9</v>
      </c>
      <c r="H40" s="1"/>
      <c r="I40" s="1" t="s">
        <v>10</v>
      </c>
      <c r="J40" s="1">
        <v>0</v>
      </c>
      <c r="K40" s="1">
        <v>4</v>
      </c>
      <c r="L40" s="5">
        <v>45641</v>
      </c>
      <c r="M40" s="1" t="s">
        <v>65</v>
      </c>
      <c r="N40" s="5">
        <v>45731</v>
      </c>
      <c r="O40" s="7">
        <v>90</v>
      </c>
      <c r="Q40" s="14">
        <v>27.580772261623327</v>
      </c>
      <c r="R40" s="14">
        <v>7.2340425531914896</v>
      </c>
      <c r="T40" s="14">
        <v>26.650326797385617</v>
      </c>
      <c r="U40" s="14">
        <v>7.1732026143790852</v>
      </c>
      <c r="X40" s="14">
        <v>3.3735294117647266E-2</v>
      </c>
      <c r="Y40" s="14">
        <v>8.4102268358323649E-3</v>
      </c>
    </row>
    <row r="41" spans="1:25" ht="30" x14ac:dyDescent="0.25">
      <c r="A41" s="19"/>
      <c r="B41" s="1">
        <v>242</v>
      </c>
      <c r="C41" s="1">
        <v>191</v>
      </c>
      <c r="D41" s="4" t="s">
        <v>110</v>
      </c>
      <c r="E41" s="1" t="s">
        <v>22</v>
      </c>
      <c r="F41" s="1">
        <v>0</v>
      </c>
      <c r="G41" s="1" t="s">
        <v>9</v>
      </c>
      <c r="H41" s="1"/>
      <c r="I41" s="1" t="s">
        <v>18</v>
      </c>
      <c r="J41" s="1">
        <v>0</v>
      </c>
      <c r="K41" s="1">
        <v>8</v>
      </c>
      <c r="L41" s="5">
        <v>45641</v>
      </c>
      <c r="M41" s="1" t="s">
        <v>66</v>
      </c>
      <c r="N41" s="5">
        <v>45731</v>
      </c>
      <c r="O41" s="7">
        <v>90</v>
      </c>
      <c r="Q41" s="14">
        <v>70.900971893879699</v>
      </c>
      <c r="R41" s="14">
        <v>3.0496453900709222</v>
      </c>
      <c r="T41" s="14">
        <v>67.663398692810446</v>
      </c>
      <c r="U41" s="14">
        <v>2.9248366013071894</v>
      </c>
      <c r="X41" s="14">
        <v>4.5663312005300258E-2</v>
      </c>
      <c r="Y41" s="14">
        <v>4.0925672594619357E-2</v>
      </c>
    </row>
    <row r="42" spans="1:25" ht="30" x14ac:dyDescent="0.25">
      <c r="A42" s="19"/>
      <c r="B42" s="1">
        <v>239</v>
      </c>
      <c r="C42" s="1">
        <v>21</v>
      </c>
      <c r="D42" s="4" t="s">
        <v>111</v>
      </c>
      <c r="E42" s="1" t="s">
        <v>22</v>
      </c>
      <c r="F42" s="1">
        <v>0</v>
      </c>
      <c r="G42" s="1" t="s">
        <v>9</v>
      </c>
      <c r="H42" s="1"/>
      <c r="I42" s="1" t="s">
        <v>11</v>
      </c>
      <c r="J42" s="1">
        <v>0</v>
      </c>
      <c r="K42" s="1">
        <v>2</v>
      </c>
      <c r="L42" s="5">
        <v>45641</v>
      </c>
      <c r="M42" s="1" t="s">
        <v>67</v>
      </c>
      <c r="N42" s="5">
        <v>45731</v>
      </c>
      <c r="O42" s="7">
        <v>90</v>
      </c>
      <c r="Q42" s="14">
        <v>28.926319936958237</v>
      </c>
      <c r="R42" s="14">
        <v>1.2588652482269505</v>
      </c>
      <c r="T42" s="14">
        <v>27.532679738562088</v>
      </c>
      <c r="U42" s="14">
        <v>1.2254901960784312</v>
      </c>
      <c r="X42" s="14">
        <v>4.8178966471830356E-2</v>
      </c>
      <c r="Y42" s="14">
        <v>2.651201325600681E-2</v>
      </c>
    </row>
    <row r="43" spans="1:25" ht="30" x14ac:dyDescent="0.25">
      <c r="A43" s="19"/>
      <c r="B43" s="1">
        <v>252</v>
      </c>
      <c r="C43" s="1">
        <v>136</v>
      </c>
      <c r="D43" s="4" t="s">
        <v>112</v>
      </c>
      <c r="E43" s="1" t="s">
        <v>22</v>
      </c>
      <c r="F43" s="1">
        <v>0</v>
      </c>
      <c r="G43" s="1" t="s">
        <v>9</v>
      </c>
      <c r="H43" s="1"/>
      <c r="I43" s="1" t="s">
        <v>13</v>
      </c>
      <c r="J43" s="1">
        <v>0</v>
      </c>
      <c r="K43" s="1">
        <v>10</v>
      </c>
      <c r="L43" s="5">
        <v>45641</v>
      </c>
      <c r="M43" s="1" t="s">
        <v>68</v>
      </c>
      <c r="N43" s="5">
        <v>45731</v>
      </c>
      <c r="O43" s="7">
        <v>90</v>
      </c>
      <c r="Q43" s="14">
        <v>16.027712109272393</v>
      </c>
      <c r="R43" s="14">
        <v>5.2068557919621759</v>
      </c>
      <c r="T43" s="14">
        <v>15.441176470588234</v>
      </c>
      <c r="U43" s="14">
        <v>5.1470588235294112</v>
      </c>
      <c r="X43" s="14">
        <v>3.659509446422083E-2</v>
      </c>
      <c r="Y43" s="14">
        <v>1.1484275889697809E-2</v>
      </c>
    </row>
    <row r="44" spans="1:25" x14ac:dyDescent="0.25">
      <c r="A44" s="19"/>
      <c r="B44" s="1">
        <v>234</v>
      </c>
      <c r="C44" s="1">
        <v>156</v>
      </c>
      <c r="D44" s="4" t="s">
        <v>113</v>
      </c>
      <c r="E44" s="1" t="s">
        <v>22</v>
      </c>
      <c r="F44" s="1">
        <v>0</v>
      </c>
      <c r="G44" s="1" t="s">
        <v>9</v>
      </c>
      <c r="H44" s="1"/>
      <c r="I44" s="1" t="s">
        <v>19</v>
      </c>
      <c r="J44" s="1">
        <v>0</v>
      </c>
      <c r="K44" s="1">
        <v>9</v>
      </c>
      <c r="L44" s="5">
        <v>45641</v>
      </c>
      <c r="M44" s="1" t="s">
        <v>69</v>
      </c>
      <c r="N44" s="5">
        <v>45731</v>
      </c>
      <c r="O44" s="7">
        <v>90</v>
      </c>
      <c r="Q44" s="14">
        <v>36.147228789072763</v>
      </c>
      <c r="R44" s="14">
        <v>3.7293144208037825</v>
      </c>
      <c r="T44" s="14">
        <v>35.01633986928104</v>
      </c>
      <c r="U44" s="14">
        <v>3.7091503267973853</v>
      </c>
      <c r="X44" s="14">
        <v>3.1285632610751839E-2</v>
      </c>
      <c r="Y44" s="14">
        <v>5.4069171250117325E-3</v>
      </c>
    </row>
    <row r="45" spans="1:25" ht="30" x14ac:dyDescent="0.25">
      <c r="A45" s="19"/>
      <c r="B45" s="1">
        <v>231</v>
      </c>
      <c r="C45" s="1">
        <v>393</v>
      </c>
      <c r="D45" s="4" t="s">
        <v>114</v>
      </c>
      <c r="E45" s="1" t="s">
        <v>22</v>
      </c>
      <c r="F45" s="1">
        <v>0</v>
      </c>
      <c r="G45" s="1" t="s">
        <v>9</v>
      </c>
      <c r="H45" s="1"/>
      <c r="I45" s="1" t="s">
        <v>20</v>
      </c>
      <c r="J45" s="1">
        <v>0</v>
      </c>
      <c r="K45" s="1">
        <v>10</v>
      </c>
      <c r="L45" s="5">
        <v>45641</v>
      </c>
      <c r="M45" s="1" t="s">
        <v>70</v>
      </c>
      <c r="N45" s="5">
        <v>45731</v>
      </c>
      <c r="O45" s="7">
        <v>90</v>
      </c>
      <c r="Q45" s="14">
        <v>48.203966377725237</v>
      </c>
      <c r="R45" s="14">
        <v>2.7836879432624118</v>
      </c>
      <c r="T45" s="14">
        <v>44.83660130718954</v>
      </c>
      <c r="U45" s="14">
        <v>2.7124183006535949</v>
      </c>
      <c r="X45" s="14">
        <v>6.9856597362737707E-2</v>
      </c>
      <c r="Y45" s="14">
        <v>2.5602597726988981E-2</v>
      </c>
    </row>
    <row r="46" spans="1:25" ht="45" x14ac:dyDescent="0.25">
      <c r="A46" s="19"/>
      <c r="B46" s="1">
        <v>237</v>
      </c>
      <c r="C46" s="1">
        <v>183</v>
      </c>
      <c r="D46" s="4" t="s">
        <v>115</v>
      </c>
      <c r="E46" s="1" t="s">
        <v>22</v>
      </c>
      <c r="F46" s="1">
        <v>0</v>
      </c>
      <c r="G46" s="1" t="s">
        <v>9</v>
      </c>
      <c r="H46" s="1"/>
      <c r="I46" s="1" t="s">
        <v>21</v>
      </c>
      <c r="J46" s="1">
        <v>0</v>
      </c>
      <c r="K46" s="1">
        <v>4</v>
      </c>
      <c r="L46" s="5">
        <v>45641</v>
      </c>
      <c r="M46" s="1" t="s">
        <v>71</v>
      </c>
      <c r="N46" s="5">
        <v>45731</v>
      </c>
      <c r="O46" s="7">
        <v>90</v>
      </c>
      <c r="Q46" s="14">
        <v>28.295000000000002</v>
      </c>
      <c r="R46" s="14">
        <v>2.1985815602836882</v>
      </c>
      <c r="T46" s="14">
        <v>25.980392156862745</v>
      </c>
      <c r="U46" s="14">
        <v>2.1241830065359477</v>
      </c>
      <c r="X46" s="14">
        <v>8.1810685655621371E-2</v>
      </c>
      <c r="Y46" s="14">
        <v>3.3839342188488421E-2</v>
      </c>
    </row>
    <row r="47" spans="1:25" ht="30" x14ac:dyDescent="0.25">
      <c r="A47" s="19"/>
      <c r="B47" s="1">
        <v>240</v>
      </c>
      <c r="C47" s="1">
        <v>31</v>
      </c>
      <c r="D47" s="4" t="s">
        <v>116</v>
      </c>
      <c r="E47" s="1" t="s">
        <v>22</v>
      </c>
      <c r="F47" s="1">
        <v>0</v>
      </c>
      <c r="G47" s="1" t="s">
        <v>9</v>
      </c>
      <c r="H47" s="1"/>
      <c r="I47" s="1" t="s">
        <v>11</v>
      </c>
      <c r="J47" s="1">
        <v>0</v>
      </c>
      <c r="K47" s="1">
        <v>10</v>
      </c>
      <c r="L47" s="5">
        <v>45641</v>
      </c>
      <c r="M47" s="1" t="s">
        <v>72</v>
      </c>
      <c r="N47" s="5">
        <v>45731</v>
      </c>
      <c r="O47" s="7">
        <v>90</v>
      </c>
      <c r="Q47" s="14">
        <v>108.03585500394013</v>
      </c>
      <c r="R47" s="14">
        <v>4.001182033096927</v>
      </c>
      <c r="T47" s="14">
        <v>97.075163398692794</v>
      </c>
      <c r="U47" s="14">
        <v>3.9052287581699341</v>
      </c>
      <c r="X47" s="14">
        <v>0.10145420337394091</v>
      </c>
      <c r="Y47" s="14">
        <v>2.3981232079242538E-2</v>
      </c>
    </row>
    <row r="48" spans="1:25" ht="30" x14ac:dyDescent="0.25">
      <c r="A48" s="19"/>
      <c r="B48" s="1">
        <v>233</v>
      </c>
      <c r="C48" s="1">
        <v>202</v>
      </c>
      <c r="D48" s="4" t="s">
        <v>117</v>
      </c>
      <c r="E48" s="1" t="s">
        <v>22</v>
      </c>
      <c r="F48" s="1">
        <v>0</v>
      </c>
      <c r="G48" s="1" t="s">
        <v>9</v>
      </c>
      <c r="H48" s="1"/>
      <c r="I48" s="1" t="s">
        <v>11</v>
      </c>
      <c r="J48" s="1">
        <v>0</v>
      </c>
      <c r="K48" s="1"/>
      <c r="L48" s="5">
        <v>45641</v>
      </c>
      <c r="M48" s="1" t="s">
        <v>73</v>
      </c>
      <c r="N48" s="5">
        <v>45731</v>
      </c>
      <c r="O48" s="7">
        <v>90</v>
      </c>
      <c r="Q48" s="14">
        <v>48.884948778565807</v>
      </c>
      <c r="R48" s="14">
        <v>3.5224586288416075</v>
      </c>
      <c r="T48" s="14">
        <v>46.33986928104575</v>
      </c>
      <c r="U48" s="14">
        <v>3.8235294117647056</v>
      </c>
      <c r="X48" s="14">
        <v>5.2062640160440904E-2</v>
      </c>
      <c r="Y48" s="14">
        <v>-8.5471772601658044E-2</v>
      </c>
    </row>
    <row r="49" spans="1:25" ht="30" x14ac:dyDescent="0.25">
      <c r="A49" s="19"/>
      <c r="B49" s="1">
        <v>236</v>
      </c>
      <c r="C49" s="1">
        <v>485</v>
      </c>
      <c r="D49" s="4" t="s">
        <v>118</v>
      </c>
      <c r="E49" s="1" t="s">
        <v>22</v>
      </c>
      <c r="F49" s="1">
        <v>0</v>
      </c>
      <c r="G49" s="1" t="s">
        <v>9</v>
      </c>
      <c r="H49" s="1"/>
      <c r="I49" s="1" t="s">
        <v>11</v>
      </c>
      <c r="J49" s="1">
        <v>0</v>
      </c>
      <c r="K49" s="1"/>
      <c r="L49" s="5">
        <v>45641</v>
      </c>
      <c r="M49" s="1" t="s">
        <v>74</v>
      </c>
      <c r="N49" s="5">
        <v>45731</v>
      </c>
      <c r="O49" s="7">
        <v>90</v>
      </c>
      <c r="Q49" s="14">
        <v>27.393617021276594</v>
      </c>
      <c r="R49" s="14">
        <v>2.0508274231678487</v>
      </c>
      <c r="T49" s="14">
        <v>26.470588235294116</v>
      </c>
      <c r="U49" s="14">
        <v>1.9607843137254899</v>
      </c>
      <c r="X49" s="14">
        <v>3.3695031410622488E-2</v>
      </c>
      <c r="Y49" s="14">
        <v>4.3905746736735196E-2</v>
      </c>
    </row>
    <row r="50" spans="1:25" x14ac:dyDescent="0.25">
      <c r="B50" s="1"/>
      <c r="C50" s="1"/>
      <c r="D50" s="4"/>
      <c r="E50" s="1"/>
      <c r="F50" s="1"/>
      <c r="G50" s="1"/>
      <c r="H50" s="1"/>
      <c r="I50" s="1"/>
      <c r="J50" s="1"/>
      <c r="K50" s="1"/>
      <c r="L50" s="5"/>
      <c r="M50" s="1"/>
      <c r="N50" s="5"/>
      <c r="O50" s="7"/>
      <c r="Q50" s="14">
        <v>50.622537431048073</v>
      </c>
      <c r="R50" s="14">
        <v>12.340425531914894</v>
      </c>
      <c r="T50" s="14">
        <v>47.761437908496731</v>
      </c>
      <c r="U50" s="14">
        <v>12.042483660130717</v>
      </c>
      <c r="X50" s="14">
        <v>5.6518295362977158E-2</v>
      </c>
      <c r="Y50" s="14">
        <v>2.4143565472166072E-2</v>
      </c>
    </row>
    <row r="51" spans="1:25" x14ac:dyDescent="0.25">
      <c r="B51" s="1"/>
      <c r="C51" s="1"/>
      <c r="D51" s="4"/>
      <c r="E51" s="1"/>
      <c r="F51" s="1"/>
      <c r="G51" s="1"/>
      <c r="I51" s="1"/>
      <c r="J51" s="1"/>
      <c r="K51" s="1"/>
      <c r="L51" s="5"/>
      <c r="M51" s="1"/>
      <c r="N51" s="5"/>
      <c r="O51" s="7"/>
      <c r="R51" s="14"/>
    </row>
    <row r="52" spans="1:25" x14ac:dyDescent="0.25">
      <c r="R52" s="14"/>
    </row>
  </sheetData>
  <mergeCells count="3">
    <mergeCell ref="G1:H1"/>
    <mergeCell ref="A2:A24"/>
    <mergeCell ref="A25:A4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2"/>
  <sheetViews>
    <sheetView topLeftCell="H13" workbookViewId="0">
      <selection activeCell="AI67" sqref="AI67"/>
    </sheetView>
  </sheetViews>
  <sheetFormatPr defaultRowHeight="15" x14ac:dyDescent="0.25"/>
  <cols>
    <col min="2" max="2" width="13.42578125" customWidth="1"/>
    <col min="3" max="3" width="15.140625" customWidth="1"/>
    <col min="4" max="4" width="13.7109375" customWidth="1"/>
    <col min="14" max="15" width="9.140625" style="13"/>
    <col min="18" max="18" width="14" customWidth="1"/>
    <col min="19" max="20" width="9.140625" style="13"/>
    <col min="26" max="27" width="9.140625" style="13"/>
    <col min="31" max="34" width="9.140625" style="13"/>
  </cols>
  <sheetData>
    <row r="1" spans="1:30" ht="45" x14ac:dyDescent="0.25">
      <c r="A1" t="s">
        <v>119</v>
      </c>
      <c r="B1" s="3" t="s">
        <v>0</v>
      </c>
      <c r="C1" s="3" t="s">
        <v>4</v>
      </c>
      <c r="D1" s="3" t="s">
        <v>6</v>
      </c>
      <c r="E1" t="s">
        <v>23</v>
      </c>
      <c r="F1" t="s">
        <v>26</v>
      </c>
      <c r="G1" t="s">
        <v>123</v>
      </c>
      <c r="I1" t="s">
        <v>124</v>
      </c>
      <c r="J1" s="13" t="s">
        <v>125</v>
      </c>
      <c r="K1" s="13" t="s">
        <v>126</v>
      </c>
      <c r="L1" t="s">
        <v>127</v>
      </c>
      <c r="N1" t="s">
        <v>124</v>
      </c>
      <c r="O1" s="13" t="s">
        <v>125</v>
      </c>
      <c r="P1" s="13" t="s">
        <v>128</v>
      </c>
      <c r="R1" t="s">
        <v>122</v>
      </c>
      <c r="S1" t="s">
        <v>123</v>
      </c>
      <c r="T1"/>
      <c r="U1" t="s">
        <v>124</v>
      </c>
      <c r="V1" s="13" t="s">
        <v>125</v>
      </c>
      <c r="W1" s="13" t="s">
        <v>133</v>
      </c>
      <c r="X1" t="s">
        <v>127</v>
      </c>
      <c r="Z1" t="s">
        <v>124</v>
      </c>
      <c r="AA1" s="13" t="s">
        <v>125</v>
      </c>
      <c r="AB1" s="13" t="s">
        <v>134</v>
      </c>
      <c r="AC1" s="13" t="s">
        <v>132</v>
      </c>
      <c r="AD1" s="13" t="s">
        <v>131</v>
      </c>
    </row>
    <row r="2" spans="1:30" ht="30" x14ac:dyDescent="0.25">
      <c r="A2" t="s">
        <v>120</v>
      </c>
      <c r="B2" s="4" t="s">
        <v>24</v>
      </c>
      <c r="C2" s="1" t="s">
        <v>10</v>
      </c>
      <c r="D2" s="1">
        <v>7</v>
      </c>
      <c r="E2">
        <v>473</v>
      </c>
      <c r="F2">
        <v>81</v>
      </c>
      <c r="J2" s="13"/>
      <c r="K2" s="13"/>
      <c r="N2"/>
      <c r="P2" s="13"/>
      <c r="R2">
        <v>267</v>
      </c>
      <c r="S2"/>
      <c r="T2"/>
      <c r="V2" s="13"/>
      <c r="W2" s="13"/>
      <c r="Z2"/>
      <c r="AB2" s="13"/>
      <c r="AC2" s="13"/>
      <c r="AD2" s="13"/>
    </row>
    <row r="3" spans="1:30" ht="30" x14ac:dyDescent="0.25">
      <c r="B3" s="4" t="s">
        <v>75</v>
      </c>
      <c r="C3" s="1" t="s">
        <v>11</v>
      </c>
      <c r="D3" s="1">
        <v>8</v>
      </c>
      <c r="E3">
        <v>482</v>
      </c>
      <c r="F3">
        <v>81</v>
      </c>
      <c r="G3">
        <v>362</v>
      </c>
      <c r="H3">
        <v>349</v>
      </c>
      <c r="I3">
        <f>((G3+H3)/2)-20</f>
        <v>335.5</v>
      </c>
      <c r="J3" s="13">
        <f>I3/F3</f>
        <v>4.1419753086419755</v>
      </c>
      <c r="K3" s="14">
        <f>J3/0.94</f>
        <v>4.4063567113212505</v>
      </c>
      <c r="L3">
        <v>343</v>
      </c>
      <c r="M3">
        <v>334</v>
      </c>
      <c r="N3">
        <f>((L3+M3)/2)-20</f>
        <v>318.5</v>
      </c>
      <c r="O3" s="13">
        <f>N3/F3</f>
        <v>3.9320987654320989</v>
      </c>
      <c r="P3" s="14">
        <f>(O3/0.09)-K3</f>
        <v>39.283629571257627</v>
      </c>
      <c r="R3">
        <v>257</v>
      </c>
      <c r="S3">
        <v>140</v>
      </c>
      <c r="T3">
        <v>139</v>
      </c>
      <c r="U3">
        <f>((S3+T3)/2)-20</f>
        <v>119.5</v>
      </c>
      <c r="V3" s="13">
        <f>U3/F3</f>
        <v>1.4753086419753085</v>
      </c>
      <c r="W3" s="14">
        <f>V3/0.34</f>
        <v>4.3391430646332605</v>
      </c>
      <c r="X3">
        <v>132</v>
      </c>
      <c r="Y3">
        <v>141</v>
      </c>
      <c r="Z3">
        <f>((X3+Y3)/2)-20</f>
        <v>116.5</v>
      </c>
      <c r="AA3" s="13">
        <f>Z3/F3</f>
        <v>1.4382716049382716</v>
      </c>
      <c r="AB3" s="14">
        <f>(AA3/0.034)-W3</f>
        <v>37.962962962962955</v>
      </c>
      <c r="AC3" s="13">
        <f>(K3-W3)/K3</f>
        <v>1.5253791531515825E-2</v>
      </c>
      <c r="AD3" s="13">
        <f>(P3-AB3)/P3</f>
        <v>3.361875220565045E-2</v>
      </c>
    </row>
    <row r="4" spans="1:30" x14ac:dyDescent="0.25">
      <c r="B4" s="1" t="s">
        <v>76</v>
      </c>
      <c r="C4" s="1" t="s">
        <v>12</v>
      </c>
      <c r="D4" s="1">
        <v>7</v>
      </c>
      <c r="E4">
        <v>478</v>
      </c>
      <c r="F4">
        <v>81</v>
      </c>
      <c r="G4">
        <v>234</v>
      </c>
      <c r="H4">
        <v>230</v>
      </c>
      <c r="I4">
        <f>((G4+H4)/2)-20</f>
        <v>212</v>
      </c>
      <c r="J4" s="13">
        <f t="shared" ref="J4:J50" si="0">I4/F4</f>
        <v>2.617283950617284</v>
      </c>
      <c r="K4" s="14">
        <f t="shared" ref="K4:K50" si="1">J4/0.94</f>
        <v>2.7843446283162598</v>
      </c>
      <c r="L4" s="9">
        <v>729</v>
      </c>
      <c r="M4" s="9">
        <v>740</v>
      </c>
      <c r="N4">
        <f t="shared" ref="N4:N50" si="2">((L4+M4)/2)-20</f>
        <v>714.5</v>
      </c>
      <c r="O4" s="13">
        <f t="shared" ref="O4:O50" si="3">N4/F4</f>
        <v>8.8209876543209873</v>
      </c>
      <c r="P4" s="14">
        <f t="shared" ref="P4:P50" si="4">(O4/0.09)-K4</f>
        <v>95.226629308583597</v>
      </c>
      <c r="R4">
        <v>249</v>
      </c>
      <c r="S4" s="9">
        <v>98</v>
      </c>
      <c r="T4" s="9">
        <v>91</v>
      </c>
      <c r="U4">
        <f t="shared" ref="U4:U50" si="5">((S4+T4)/2)-20</f>
        <v>74.5</v>
      </c>
      <c r="V4" s="13">
        <f t="shared" ref="V4:V50" si="6">U4/F4</f>
        <v>0.91975308641975306</v>
      </c>
      <c r="W4" s="14">
        <f t="shared" ref="W4:W50" si="7">V4/0.34</f>
        <v>2.7051561365286854</v>
      </c>
      <c r="X4" s="9">
        <v>274</v>
      </c>
      <c r="Y4" s="9">
        <v>287</v>
      </c>
      <c r="Z4">
        <f t="shared" ref="Z4:Z50" si="8">((X4+Y4)/2)-20</f>
        <v>260.5</v>
      </c>
      <c r="AA4" s="13">
        <f t="shared" ref="AA4:AA50" si="9">Z4/F4</f>
        <v>3.2160493827160495</v>
      </c>
      <c r="AB4" s="14">
        <f t="shared" ref="AB4:AB50" si="10">(AA4/0.034)-W4</f>
        <v>91.884531590413943</v>
      </c>
      <c r="AC4" s="13">
        <f>(K4-W4)/K4</f>
        <v>2.84406215316317E-2</v>
      </c>
      <c r="AD4" s="13">
        <f t="shared" ref="AD4:AD50" si="11">(P4-AB4)/P4</f>
        <v>3.5096251357795379E-2</v>
      </c>
    </row>
    <row r="5" spans="1:30" x14ac:dyDescent="0.25">
      <c r="B5" s="4" t="s">
        <v>77</v>
      </c>
      <c r="C5" s="1" t="s">
        <v>10</v>
      </c>
      <c r="D5" s="1">
        <v>4</v>
      </c>
      <c r="E5">
        <v>487</v>
      </c>
      <c r="F5">
        <v>81</v>
      </c>
      <c r="G5">
        <v>199</v>
      </c>
      <c r="H5">
        <v>197</v>
      </c>
      <c r="I5">
        <f t="shared" ref="I5:I50" si="12">((G5+H5)/2)-20</f>
        <v>178</v>
      </c>
      <c r="J5" s="13">
        <f t="shared" si="0"/>
        <v>2.1975308641975309</v>
      </c>
      <c r="K5" s="14">
        <f t="shared" si="1"/>
        <v>2.3377987916995009</v>
      </c>
      <c r="L5">
        <v>507</v>
      </c>
      <c r="M5">
        <v>501</v>
      </c>
      <c r="N5">
        <f t="shared" si="2"/>
        <v>484</v>
      </c>
      <c r="O5" s="13">
        <f t="shared" si="3"/>
        <v>5.9753086419753085</v>
      </c>
      <c r="P5" s="14">
        <f t="shared" si="4"/>
        <v>64.054519452470601</v>
      </c>
      <c r="R5">
        <v>271</v>
      </c>
      <c r="S5">
        <v>82</v>
      </c>
      <c r="T5">
        <v>85</v>
      </c>
      <c r="U5">
        <f t="shared" si="5"/>
        <v>63.5</v>
      </c>
      <c r="V5" s="13">
        <f t="shared" si="6"/>
        <v>0.78395061728395066</v>
      </c>
      <c r="W5" s="14">
        <f t="shared" si="7"/>
        <v>2.3057371096586783</v>
      </c>
      <c r="X5">
        <v>194</v>
      </c>
      <c r="Y5">
        <v>191</v>
      </c>
      <c r="Z5">
        <f t="shared" si="8"/>
        <v>172.5</v>
      </c>
      <c r="AA5" s="13">
        <f t="shared" si="9"/>
        <v>2.1296296296296298</v>
      </c>
      <c r="AB5" s="14">
        <f t="shared" si="10"/>
        <v>60.330428467683369</v>
      </c>
      <c r="AC5" s="13">
        <f t="shared" ref="AC5:AC50" si="13">(K5-W5)/K5</f>
        <v>1.3714474553866478E-2</v>
      </c>
      <c r="AD5" s="13">
        <f t="shared" si="11"/>
        <v>5.8139394637884409E-2</v>
      </c>
    </row>
    <row r="6" spans="1:30" x14ac:dyDescent="0.25">
      <c r="B6" s="4" t="s">
        <v>78</v>
      </c>
      <c r="C6" s="1" t="s">
        <v>10</v>
      </c>
      <c r="D6" s="1">
        <v>12</v>
      </c>
      <c r="E6">
        <v>355</v>
      </c>
      <c r="F6">
        <v>81</v>
      </c>
      <c r="G6">
        <v>58</v>
      </c>
      <c r="H6">
        <v>56</v>
      </c>
      <c r="I6">
        <f t="shared" si="12"/>
        <v>37</v>
      </c>
      <c r="J6" s="13">
        <f t="shared" si="0"/>
        <v>0.4567901234567901</v>
      </c>
      <c r="K6" s="14">
        <f t="shared" si="1"/>
        <v>0.48594693984764908</v>
      </c>
      <c r="L6">
        <v>260</v>
      </c>
      <c r="M6">
        <v>257</v>
      </c>
      <c r="N6">
        <f t="shared" si="2"/>
        <v>238.5</v>
      </c>
      <c r="O6" s="13">
        <f t="shared" si="3"/>
        <v>2.9444444444444446</v>
      </c>
      <c r="P6" s="14">
        <f t="shared" si="4"/>
        <v>32.2301024428684</v>
      </c>
      <c r="R6">
        <v>266</v>
      </c>
      <c r="S6">
        <v>33</v>
      </c>
      <c r="T6">
        <v>33</v>
      </c>
      <c r="U6">
        <f>((S6+T6)/2)-20</f>
        <v>13</v>
      </c>
      <c r="V6" s="13">
        <f t="shared" si="6"/>
        <v>0.16049382716049382</v>
      </c>
      <c r="W6" s="14">
        <f t="shared" si="7"/>
        <v>0.47204066811909945</v>
      </c>
      <c r="X6">
        <v>102</v>
      </c>
      <c r="Y6">
        <v>110</v>
      </c>
      <c r="Z6">
        <f t="shared" si="8"/>
        <v>86</v>
      </c>
      <c r="AA6" s="13">
        <f t="shared" si="9"/>
        <v>1.0617283950617284</v>
      </c>
      <c r="AB6" s="14">
        <f t="shared" si="10"/>
        <v>30.755265068990557</v>
      </c>
      <c r="AC6" s="13">
        <f t="shared" si="13"/>
        <v>2.861685214626403E-2</v>
      </c>
      <c r="AD6" s="13">
        <f t="shared" si="11"/>
        <v>4.5759624143055823E-2</v>
      </c>
    </row>
    <row r="7" spans="1:30" x14ac:dyDescent="0.25">
      <c r="B7" s="4" t="s">
        <v>79</v>
      </c>
      <c r="C7" s="1" t="s">
        <v>13</v>
      </c>
      <c r="D7" s="1">
        <v>6</v>
      </c>
      <c r="E7">
        <v>474</v>
      </c>
      <c r="F7">
        <v>81</v>
      </c>
      <c r="G7">
        <v>443</v>
      </c>
      <c r="H7">
        <v>443</v>
      </c>
      <c r="I7">
        <f t="shared" si="12"/>
        <v>423</v>
      </c>
      <c r="J7" s="13">
        <f t="shared" si="0"/>
        <v>5.2222222222222223</v>
      </c>
      <c r="K7" s="14">
        <f t="shared" si="1"/>
        <v>5.5555555555555562</v>
      </c>
      <c r="L7">
        <v>532</v>
      </c>
      <c r="M7">
        <v>526</v>
      </c>
      <c r="N7">
        <f t="shared" si="2"/>
        <v>509</v>
      </c>
      <c r="O7" s="13">
        <f t="shared" si="3"/>
        <v>6.283950617283951</v>
      </c>
      <c r="P7" s="14">
        <f t="shared" si="4"/>
        <v>64.266117969821678</v>
      </c>
      <c r="R7">
        <v>274</v>
      </c>
      <c r="S7">
        <v>165</v>
      </c>
      <c r="T7">
        <v>172</v>
      </c>
      <c r="U7">
        <f t="shared" si="5"/>
        <v>148.5</v>
      </c>
      <c r="V7" s="13">
        <f t="shared" si="6"/>
        <v>1.8333333333333333</v>
      </c>
      <c r="W7" s="14">
        <f t="shared" si="7"/>
        <v>5.3921568627450975</v>
      </c>
      <c r="X7">
        <v>205</v>
      </c>
      <c r="Y7">
        <v>206</v>
      </c>
      <c r="Z7">
        <f t="shared" si="8"/>
        <v>185.5</v>
      </c>
      <c r="AA7" s="13">
        <f t="shared" si="9"/>
        <v>2.2901234567901234</v>
      </c>
      <c r="AB7" s="14">
        <f t="shared" si="10"/>
        <v>61.964415395787938</v>
      </c>
      <c r="AC7" s="13">
        <f t="shared" si="13"/>
        <v>2.9411764705882564E-2</v>
      </c>
      <c r="AD7" s="13">
        <f t="shared" si="11"/>
        <v>3.5815179860631728E-2</v>
      </c>
    </row>
    <row r="8" spans="1:30" ht="30" x14ac:dyDescent="0.25">
      <c r="B8" s="4" t="s">
        <v>80</v>
      </c>
      <c r="C8" s="1" t="s">
        <v>11</v>
      </c>
      <c r="D8" s="1">
        <v>2</v>
      </c>
      <c r="E8">
        <v>129</v>
      </c>
      <c r="F8">
        <v>81</v>
      </c>
      <c r="G8">
        <v>114</v>
      </c>
      <c r="H8">
        <v>111</v>
      </c>
      <c r="I8">
        <f t="shared" si="12"/>
        <v>92.5</v>
      </c>
      <c r="J8" s="13">
        <f t="shared" si="0"/>
        <v>1.1419753086419753</v>
      </c>
      <c r="K8" s="14">
        <f t="shared" si="1"/>
        <v>1.2148673496191227</v>
      </c>
      <c r="L8">
        <v>230</v>
      </c>
      <c r="M8">
        <v>236</v>
      </c>
      <c r="N8">
        <f t="shared" si="2"/>
        <v>213</v>
      </c>
      <c r="O8" s="13">
        <f t="shared" si="3"/>
        <v>2.6296296296296298</v>
      </c>
      <c r="P8" s="14">
        <f t="shared" si="4"/>
        <v>28.003239646265655</v>
      </c>
      <c r="R8">
        <v>254</v>
      </c>
      <c r="S8">
        <v>51</v>
      </c>
      <c r="T8">
        <v>54</v>
      </c>
      <c r="U8">
        <f t="shared" si="5"/>
        <v>32.5</v>
      </c>
      <c r="V8" s="13">
        <f t="shared" si="6"/>
        <v>0.40123456790123457</v>
      </c>
      <c r="W8" s="14">
        <f t="shared" si="7"/>
        <v>1.1801016702977487</v>
      </c>
      <c r="X8">
        <v>92</v>
      </c>
      <c r="Y8">
        <v>99</v>
      </c>
      <c r="Z8">
        <f t="shared" si="8"/>
        <v>75.5</v>
      </c>
      <c r="AA8" s="13">
        <f t="shared" si="9"/>
        <v>0.9320987654320988</v>
      </c>
      <c r="AB8" s="14">
        <f t="shared" si="10"/>
        <v>26.234567901234566</v>
      </c>
      <c r="AC8" s="13">
        <f t="shared" si="13"/>
        <v>2.861685214626394E-2</v>
      </c>
      <c r="AD8" s="13">
        <f t="shared" si="11"/>
        <v>6.315954037364202E-2</v>
      </c>
    </row>
    <row r="9" spans="1:30" ht="30" x14ac:dyDescent="0.25">
      <c r="B9" s="4" t="s">
        <v>81</v>
      </c>
      <c r="C9" s="1" t="s">
        <v>11</v>
      </c>
      <c r="D9" s="1">
        <v>2</v>
      </c>
      <c r="E9">
        <v>110</v>
      </c>
      <c r="F9">
        <v>81</v>
      </c>
      <c r="G9">
        <v>94</v>
      </c>
      <c r="H9">
        <v>89</v>
      </c>
      <c r="I9">
        <f t="shared" si="12"/>
        <v>71.5</v>
      </c>
      <c r="J9" s="13">
        <f t="shared" si="0"/>
        <v>0.88271604938271608</v>
      </c>
      <c r="K9" s="14">
        <f t="shared" si="1"/>
        <v>0.93905962700288947</v>
      </c>
      <c r="L9">
        <v>282</v>
      </c>
      <c r="M9">
        <v>290</v>
      </c>
      <c r="N9">
        <f t="shared" si="2"/>
        <v>266</v>
      </c>
      <c r="O9" s="13">
        <f t="shared" si="3"/>
        <v>3.2839506172839505</v>
      </c>
      <c r="P9" s="14">
        <f t="shared" si="4"/>
        <v>35.549280565041002</v>
      </c>
      <c r="R9">
        <v>277</v>
      </c>
      <c r="S9">
        <v>47</v>
      </c>
      <c r="T9">
        <v>44</v>
      </c>
      <c r="U9">
        <f>((S9+T9)/2)-20</f>
        <v>25.5</v>
      </c>
      <c r="V9" s="13">
        <f t="shared" si="6"/>
        <v>0.31481481481481483</v>
      </c>
      <c r="W9" s="14">
        <f t="shared" si="7"/>
        <v>0.92592592592592593</v>
      </c>
      <c r="X9">
        <v>112</v>
      </c>
      <c r="Y9">
        <v>119</v>
      </c>
      <c r="Z9">
        <f t="shared" si="8"/>
        <v>95.5</v>
      </c>
      <c r="AA9" s="13">
        <f t="shared" si="9"/>
        <v>1.1790123456790123</v>
      </c>
      <c r="AB9" s="14">
        <f t="shared" si="10"/>
        <v>33.75090777051561</v>
      </c>
      <c r="AC9" s="13">
        <f t="shared" si="13"/>
        <v>1.3986013986014045E-2</v>
      </c>
      <c r="AD9" s="13">
        <f t="shared" si="11"/>
        <v>5.0588162852834309E-2</v>
      </c>
    </row>
    <row r="10" spans="1:30" x14ac:dyDescent="0.25">
      <c r="B10" s="4" t="s">
        <v>82</v>
      </c>
      <c r="C10" s="1" t="s">
        <v>12</v>
      </c>
      <c r="D10" s="1">
        <v>6</v>
      </c>
      <c r="E10">
        <v>317</v>
      </c>
      <c r="F10">
        <v>81</v>
      </c>
      <c r="G10">
        <v>37</v>
      </c>
      <c r="H10">
        <v>38</v>
      </c>
      <c r="I10">
        <f t="shared" si="12"/>
        <v>17.5</v>
      </c>
      <c r="J10" s="13">
        <f t="shared" si="0"/>
        <v>0.21604938271604937</v>
      </c>
      <c r="K10" s="14">
        <f t="shared" si="1"/>
        <v>0.22983976884686105</v>
      </c>
      <c r="N10"/>
      <c r="P10" s="14"/>
      <c r="R10">
        <v>259</v>
      </c>
      <c r="S10">
        <v>25</v>
      </c>
      <c r="T10">
        <v>28</v>
      </c>
      <c r="U10">
        <f t="shared" si="5"/>
        <v>6.5</v>
      </c>
      <c r="V10" s="13">
        <f t="shared" si="6"/>
        <v>8.0246913580246909E-2</v>
      </c>
      <c r="W10" s="14">
        <f t="shared" si="7"/>
        <v>0.23602033405954972</v>
      </c>
      <c r="Z10"/>
      <c r="AB10" s="14"/>
      <c r="AC10" s="13">
        <f t="shared" si="13"/>
        <v>-2.6890756302520882E-2</v>
      </c>
      <c r="AD10" s="13"/>
    </row>
    <row r="11" spans="1:30" ht="30" x14ac:dyDescent="0.25">
      <c r="B11" s="4" t="s">
        <v>83</v>
      </c>
      <c r="C11" s="1" t="s">
        <v>10</v>
      </c>
      <c r="D11" s="1">
        <v>4</v>
      </c>
      <c r="E11">
        <v>269</v>
      </c>
      <c r="F11">
        <v>81</v>
      </c>
      <c r="G11">
        <v>188</v>
      </c>
      <c r="H11">
        <v>193</v>
      </c>
      <c r="I11">
        <f t="shared" si="12"/>
        <v>170.5</v>
      </c>
      <c r="J11" s="13">
        <f t="shared" si="0"/>
        <v>2.1049382716049383</v>
      </c>
      <c r="K11" s="14">
        <f t="shared" si="1"/>
        <v>2.2392960336222747</v>
      </c>
      <c r="L11">
        <v>381</v>
      </c>
      <c r="M11">
        <v>384</v>
      </c>
      <c r="N11">
        <f t="shared" si="2"/>
        <v>362.5</v>
      </c>
      <c r="O11" s="13">
        <f t="shared" si="3"/>
        <v>4.4753086419753085</v>
      </c>
      <c r="P11" s="14">
        <f t="shared" si="4"/>
        <v>47.486355543881153</v>
      </c>
      <c r="R11">
        <v>273</v>
      </c>
      <c r="S11">
        <v>82</v>
      </c>
      <c r="T11">
        <v>78</v>
      </c>
      <c r="U11">
        <f t="shared" si="5"/>
        <v>60</v>
      </c>
      <c r="V11" s="13">
        <f t="shared" si="6"/>
        <v>0.7407407407407407</v>
      </c>
      <c r="W11" s="14">
        <f t="shared" si="7"/>
        <v>2.1786492374727664</v>
      </c>
      <c r="X11">
        <v>147</v>
      </c>
      <c r="Y11">
        <v>151</v>
      </c>
      <c r="Z11">
        <f t="shared" si="8"/>
        <v>129</v>
      </c>
      <c r="AA11" s="13">
        <f t="shared" si="9"/>
        <v>1.5925925925925926</v>
      </c>
      <c r="AB11" s="14">
        <f t="shared" si="10"/>
        <v>44.662309368191714</v>
      </c>
      <c r="AC11" s="13">
        <f t="shared" si="13"/>
        <v>2.7082973952044353E-2</v>
      </c>
      <c r="AD11" s="13">
        <f t="shared" si="11"/>
        <v>5.9470686755057393E-2</v>
      </c>
    </row>
    <row r="12" spans="1:30" ht="30" x14ac:dyDescent="0.25">
      <c r="B12" s="4" t="s">
        <v>84</v>
      </c>
      <c r="C12" s="1" t="s">
        <v>11</v>
      </c>
      <c r="D12" s="1">
        <v>3</v>
      </c>
      <c r="E12">
        <v>503</v>
      </c>
      <c r="F12">
        <v>81</v>
      </c>
      <c r="G12">
        <v>155</v>
      </c>
      <c r="H12">
        <v>155</v>
      </c>
      <c r="I12">
        <f t="shared" si="12"/>
        <v>135</v>
      </c>
      <c r="J12" s="13">
        <f t="shared" si="0"/>
        <v>1.6666666666666667</v>
      </c>
      <c r="K12" s="14">
        <f t="shared" si="1"/>
        <v>1.773049645390071</v>
      </c>
      <c r="L12">
        <v>229</v>
      </c>
      <c r="M12">
        <v>231</v>
      </c>
      <c r="N12">
        <f t="shared" si="2"/>
        <v>210</v>
      </c>
      <c r="O12" s="13">
        <f t="shared" si="3"/>
        <v>2.5925925925925926</v>
      </c>
      <c r="P12" s="14">
        <f t="shared" si="4"/>
        <v>27.033534716749848</v>
      </c>
      <c r="R12">
        <v>248</v>
      </c>
      <c r="S12">
        <v>68</v>
      </c>
      <c r="T12">
        <v>68</v>
      </c>
      <c r="U12">
        <f t="shared" si="5"/>
        <v>48</v>
      </c>
      <c r="V12" s="13">
        <f t="shared" si="6"/>
        <v>0.59259259259259256</v>
      </c>
      <c r="W12" s="14">
        <f t="shared" si="7"/>
        <v>1.7429193899782134</v>
      </c>
      <c r="X12">
        <v>99</v>
      </c>
      <c r="Y12">
        <v>97</v>
      </c>
      <c r="Z12">
        <f t="shared" si="8"/>
        <v>78</v>
      </c>
      <c r="AA12" s="13">
        <f t="shared" si="9"/>
        <v>0.96296296296296291</v>
      </c>
      <c r="AB12" s="14">
        <f t="shared" si="10"/>
        <v>26.579520697167755</v>
      </c>
      <c r="AC12" s="13">
        <f t="shared" si="13"/>
        <v>1.6993464052287716E-2</v>
      </c>
      <c r="AD12" s="13">
        <f t="shared" si="11"/>
        <v>1.6794474874970319E-2</v>
      </c>
    </row>
    <row r="13" spans="1:30" ht="30" x14ac:dyDescent="0.25">
      <c r="B13" s="4" t="s">
        <v>85</v>
      </c>
      <c r="C13" s="1" t="s">
        <v>11</v>
      </c>
      <c r="D13" s="1">
        <v>8</v>
      </c>
      <c r="E13">
        <v>395</v>
      </c>
      <c r="F13">
        <v>81</v>
      </c>
      <c r="G13">
        <v>164</v>
      </c>
      <c r="H13">
        <v>163</v>
      </c>
      <c r="I13">
        <f t="shared" si="12"/>
        <v>143.5</v>
      </c>
      <c r="J13" s="13">
        <f t="shared" si="0"/>
        <v>1.771604938271605</v>
      </c>
      <c r="K13" s="14">
        <f t="shared" si="1"/>
        <v>1.8846861045442609</v>
      </c>
      <c r="L13">
        <v>376</v>
      </c>
      <c r="M13">
        <v>364</v>
      </c>
      <c r="N13">
        <f t="shared" si="2"/>
        <v>350</v>
      </c>
      <c r="O13" s="13">
        <f t="shared" si="3"/>
        <v>4.3209876543209873</v>
      </c>
      <c r="P13" s="14">
        <f t="shared" si="4"/>
        <v>46.126287832355601</v>
      </c>
      <c r="R13">
        <v>272</v>
      </c>
      <c r="S13">
        <v>71</v>
      </c>
      <c r="T13">
        <v>71</v>
      </c>
      <c r="U13">
        <f t="shared" si="5"/>
        <v>51</v>
      </c>
      <c r="V13" s="13">
        <f t="shared" si="6"/>
        <v>0.62962962962962965</v>
      </c>
      <c r="W13" s="14">
        <f t="shared" si="7"/>
        <v>1.8518518518518519</v>
      </c>
      <c r="X13">
        <v>142</v>
      </c>
      <c r="Y13">
        <v>149</v>
      </c>
      <c r="Z13">
        <f t="shared" si="8"/>
        <v>125.5</v>
      </c>
      <c r="AA13" s="13">
        <f t="shared" si="9"/>
        <v>1.5493827160493827</v>
      </c>
      <c r="AB13" s="14">
        <f t="shared" si="10"/>
        <v>43.718228031953515</v>
      </c>
      <c r="AC13" s="13">
        <f t="shared" si="13"/>
        <v>1.7421602787456605E-2</v>
      </c>
      <c r="AD13" s="13">
        <f t="shared" si="11"/>
        <v>5.2205800934037781E-2</v>
      </c>
    </row>
    <row r="14" spans="1:30" ht="30" x14ac:dyDescent="0.25">
      <c r="B14" s="4" t="s">
        <v>86</v>
      </c>
      <c r="C14" s="1" t="s">
        <v>10</v>
      </c>
      <c r="D14" s="1">
        <v>9</v>
      </c>
      <c r="E14">
        <v>281</v>
      </c>
      <c r="F14">
        <v>81</v>
      </c>
      <c r="G14">
        <v>50</v>
      </c>
      <c r="H14">
        <v>49</v>
      </c>
      <c r="I14">
        <f t="shared" si="12"/>
        <v>29.5</v>
      </c>
      <c r="J14" s="13">
        <f t="shared" si="0"/>
        <v>0.36419753086419754</v>
      </c>
      <c r="K14" s="14">
        <f t="shared" si="1"/>
        <v>0.38744418177042295</v>
      </c>
      <c r="N14"/>
      <c r="P14" s="14"/>
      <c r="R14">
        <v>280</v>
      </c>
      <c r="S14">
        <v>28</v>
      </c>
      <c r="T14">
        <v>33</v>
      </c>
      <c r="U14">
        <f t="shared" si="5"/>
        <v>10.5</v>
      </c>
      <c r="V14" s="13">
        <f t="shared" si="6"/>
        <v>0.12962962962962962</v>
      </c>
      <c r="W14" s="14">
        <f t="shared" si="7"/>
        <v>0.38126361655773416</v>
      </c>
      <c r="X14">
        <v>97</v>
      </c>
      <c r="Y14">
        <v>93</v>
      </c>
      <c r="Z14">
        <f t="shared" si="8"/>
        <v>75</v>
      </c>
      <c r="AA14" s="13">
        <f t="shared" si="9"/>
        <v>0.92592592592592593</v>
      </c>
      <c r="AB14" s="14">
        <f t="shared" si="10"/>
        <v>26.851851851851848</v>
      </c>
      <c r="AC14" s="13">
        <f t="shared" si="13"/>
        <v>1.5952143569292334E-2</v>
      </c>
      <c r="AD14" s="13"/>
    </row>
    <row r="15" spans="1:30" x14ac:dyDescent="0.25">
      <c r="B15" s="4" t="s">
        <v>87</v>
      </c>
      <c r="C15" s="1" t="s">
        <v>11</v>
      </c>
      <c r="D15" s="1">
        <v>7</v>
      </c>
      <c r="E15">
        <v>275</v>
      </c>
      <c r="F15">
        <v>81</v>
      </c>
      <c r="G15">
        <v>326</v>
      </c>
      <c r="H15">
        <v>322</v>
      </c>
      <c r="I15">
        <f t="shared" si="12"/>
        <v>304</v>
      </c>
      <c r="J15" s="13">
        <f t="shared" si="0"/>
        <v>3.7530864197530862</v>
      </c>
      <c r="K15" s="14">
        <f t="shared" si="1"/>
        <v>3.9926451273969006</v>
      </c>
      <c r="L15">
        <v>798</v>
      </c>
      <c r="M15">
        <v>788</v>
      </c>
      <c r="N15">
        <f t="shared" si="2"/>
        <v>773</v>
      </c>
      <c r="O15" s="13">
        <f t="shared" si="3"/>
        <v>9.5432098765432105</v>
      </c>
      <c r="P15" s="14">
        <f t="shared" si="4"/>
        <v>102.04302016752767</v>
      </c>
      <c r="Q15" s="10"/>
      <c r="R15" s="11">
        <v>255</v>
      </c>
      <c r="S15"/>
      <c r="T15"/>
      <c r="V15" s="13"/>
      <c r="W15" s="14"/>
      <c r="Z15"/>
      <c r="AB15" s="14"/>
      <c r="AC15" s="13"/>
      <c r="AD15" s="13"/>
    </row>
    <row r="16" spans="1:30" ht="45" x14ac:dyDescent="0.25">
      <c r="B16" s="4" t="s">
        <v>14</v>
      </c>
      <c r="C16" s="1" t="s">
        <v>15</v>
      </c>
      <c r="D16" s="1">
        <v>6</v>
      </c>
      <c r="E16">
        <v>217</v>
      </c>
      <c r="F16">
        <v>81</v>
      </c>
      <c r="G16">
        <v>69</v>
      </c>
      <c r="H16">
        <v>68</v>
      </c>
      <c r="I16">
        <f t="shared" si="12"/>
        <v>48.5</v>
      </c>
      <c r="J16" s="13">
        <f t="shared" si="0"/>
        <v>0.59876543209876543</v>
      </c>
      <c r="K16" s="14">
        <f t="shared" si="1"/>
        <v>0.63698450223272918</v>
      </c>
      <c r="L16">
        <v>280</v>
      </c>
      <c r="M16">
        <v>282</v>
      </c>
      <c r="N16">
        <f t="shared" si="2"/>
        <v>261</v>
      </c>
      <c r="O16" s="13">
        <f t="shared" si="3"/>
        <v>3.2222222222222223</v>
      </c>
      <c r="P16" s="14">
        <f t="shared" si="4"/>
        <v>35.16548463356974</v>
      </c>
      <c r="Q16" s="10"/>
      <c r="R16">
        <v>268</v>
      </c>
      <c r="S16">
        <v>41</v>
      </c>
      <c r="T16">
        <v>33</v>
      </c>
      <c r="U16">
        <f t="shared" si="5"/>
        <v>17</v>
      </c>
      <c r="V16" s="13">
        <f t="shared" si="6"/>
        <v>0.20987654320987653</v>
      </c>
      <c r="W16" s="14">
        <f t="shared" si="7"/>
        <v>0.61728395061728392</v>
      </c>
      <c r="X16">
        <v>111</v>
      </c>
      <c r="Y16">
        <v>119</v>
      </c>
      <c r="Z16">
        <f t="shared" si="8"/>
        <v>95</v>
      </c>
      <c r="AA16" s="13">
        <f t="shared" si="9"/>
        <v>1.1728395061728396</v>
      </c>
      <c r="AB16" s="14">
        <f t="shared" si="10"/>
        <v>33.877995642701528</v>
      </c>
      <c r="AC16" s="13">
        <f t="shared" si="13"/>
        <v>3.0927835051546438E-2</v>
      </c>
      <c r="AD16" s="13">
        <f t="shared" si="11"/>
        <v>3.6612291975613699E-2</v>
      </c>
    </row>
    <row r="17" spans="1:30" ht="30" x14ac:dyDescent="0.25">
      <c r="B17" s="4" t="s">
        <v>16</v>
      </c>
      <c r="C17" s="1" t="s">
        <v>10</v>
      </c>
      <c r="D17" s="1">
        <v>4</v>
      </c>
      <c r="E17">
        <v>226</v>
      </c>
      <c r="F17">
        <v>81</v>
      </c>
      <c r="G17">
        <v>200</v>
      </c>
      <c r="H17">
        <v>189</v>
      </c>
      <c r="I17">
        <f t="shared" si="12"/>
        <v>174.5</v>
      </c>
      <c r="J17" s="13">
        <f t="shared" si="0"/>
        <v>2.1543209876543208</v>
      </c>
      <c r="K17" s="14">
        <f t="shared" si="1"/>
        <v>2.2918308379301284</v>
      </c>
      <c r="L17">
        <v>338</v>
      </c>
      <c r="M17">
        <v>342</v>
      </c>
      <c r="N17">
        <f t="shared" si="2"/>
        <v>320</v>
      </c>
      <c r="O17" s="13">
        <f t="shared" si="3"/>
        <v>3.9506172839506171</v>
      </c>
      <c r="P17" s="14">
        <f t="shared" si="4"/>
        <v>41.603916761521177</v>
      </c>
      <c r="R17">
        <v>269</v>
      </c>
      <c r="S17">
        <v>81</v>
      </c>
      <c r="T17">
        <v>82</v>
      </c>
      <c r="U17">
        <f t="shared" si="5"/>
        <v>61.5</v>
      </c>
      <c r="V17" s="13">
        <f t="shared" si="6"/>
        <v>0.7592592592592593</v>
      </c>
      <c r="W17" s="14">
        <f t="shared" si="7"/>
        <v>2.233115468409586</v>
      </c>
      <c r="X17">
        <v>133</v>
      </c>
      <c r="Y17">
        <v>135</v>
      </c>
      <c r="Z17">
        <f t="shared" si="8"/>
        <v>114</v>
      </c>
      <c r="AA17" s="13">
        <f t="shared" si="9"/>
        <v>1.4074074074074074</v>
      </c>
      <c r="AB17" s="14">
        <f t="shared" si="10"/>
        <v>39.161220043572982</v>
      </c>
      <c r="AC17" s="13">
        <f t="shared" si="13"/>
        <v>2.5619416821169649E-2</v>
      </c>
      <c r="AD17" s="13">
        <f t="shared" si="11"/>
        <v>5.8713143090590149E-2</v>
      </c>
    </row>
    <row r="18" spans="1:30" ht="30" x14ac:dyDescent="0.25">
      <c r="B18" s="4" t="s">
        <v>17</v>
      </c>
      <c r="C18" s="1" t="s">
        <v>18</v>
      </c>
      <c r="D18" s="1">
        <v>8</v>
      </c>
      <c r="E18">
        <v>316</v>
      </c>
      <c r="F18">
        <v>81</v>
      </c>
      <c r="G18">
        <v>132</v>
      </c>
      <c r="H18">
        <v>129</v>
      </c>
      <c r="I18">
        <f t="shared" si="12"/>
        <v>110.5</v>
      </c>
      <c r="J18" s="13">
        <f t="shared" si="0"/>
        <v>1.3641975308641976</v>
      </c>
      <c r="K18" s="14">
        <f t="shared" si="1"/>
        <v>1.4512739690044656</v>
      </c>
      <c r="L18">
        <v>348</v>
      </c>
      <c r="M18">
        <v>348</v>
      </c>
      <c r="N18">
        <f t="shared" si="2"/>
        <v>328</v>
      </c>
      <c r="O18" s="13">
        <f t="shared" si="3"/>
        <v>4.0493827160493829</v>
      </c>
      <c r="P18" s="14">
        <f t="shared" si="4"/>
        <v>43.54186732043312</v>
      </c>
      <c r="R18">
        <v>275</v>
      </c>
      <c r="S18">
        <v>59</v>
      </c>
      <c r="T18">
        <v>60</v>
      </c>
      <c r="U18">
        <f t="shared" si="5"/>
        <v>39.5</v>
      </c>
      <c r="V18" s="13">
        <f t="shared" si="6"/>
        <v>0.48765432098765432</v>
      </c>
      <c r="W18" s="14">
        <f t="shared" si="7"/>
        <v>1.4342774146695714</v>
      </c>
      <c r="X18">
        <v>139</v>
      </c>
      <c r="Y18">
        <v>144</v>
      </c>
      <c r="Z18">
        <f t="shared" si="8"/>
        <v>121.5</v>
      </c>
      <c r="AA18" s="13">
        <f t="shared" si="9"/>
        <v>1.5</v>
      </c>
      <c r="AB18" s="14">
        <f t="shared" si="10"/>
        <v>42.683369644153956</v>
      </c>
      <c r="AC18" s="13">
        <f t="shared" si="13"/>
        <v>1.1711471919084577E-2</v>
      </c>
      <c r="AD18" s="13">
        <f t="shared" si="11"/>
        <v>1.9716602183395392E-2</v>
      </c>
    </row>
    <row r="19" spans="1:30" ht="30" x14ac:dyDescent="0.25">
      <c r="B19" s="4" t="s">
        <v>88</v>
      </c>
      <c r="C19" s="1" t="s">
        <v>11</v>
      </c>
      <c r="D19" s="1">
        <v>2</v>
      </c>
      <c r="E19">
        <v>361</v>
      </c>
      <c r="F19">
        <v>81</v>
      </c>
      <c r="G19">
        <v>105</v>
      </c>
      <c r="H19">
        <v>108</v>
      </c>
      <c r="I19">
        <f t="shared" si="12"/>
        <v>86.5</v>
      </c>
      <c r="J19" s="13">
        <f t="shared" si="0"/>
        <v>1.0679012345679013</v>
      </c>
      <c r="K19" s="14">
        <f t="shared" si="1"/>
        <v>1.1360651431573419</v>
      </c>
      <c r="L19">
        <v>148</v>
      </c>
      <c r="M19">
        <v>249</v>
      </c>
      <c r="N19">
        <f t="shared" si="2"/>
        <v>178.5</v>
      </c>
      <c r="O19" s="13">
        <f t="shared" si="3"/>
        <v>2.2037037037037037</v>
      </c>
      <c r="P19" s="14">
        <f t="shared" si="4"/>
        <v>23.349531564661589</v>
      </c>
      <c r="R19">
        <v>260</v>
      </c>
      <c r="S19">
        <v>51</v>
      </c>
      <c r="T19">
        <v>50</v>
      </c>
      <c r="U19">
        <f t="shared" si="5"/>
        <v>30.5</v>
      </c>
      <c r="V19" s="13">
        <f t="shared" si="6"/>
        <v>0.37654320987654322</v>
      </c>
      <c r="W19" s="14">
        <f t="shared" si="7"/>
        <v>1.1074800290486564</v>
      </c>
      <c r="X19">
        <v>86</v>
      </c>
      <c r="Y19">
        <v>85</v>
      </c>
      <c r="Z19">
        <f t="shared" si="8"/>
        <v>65.5</v>
      </c>
      <c r="AA19" s="13">
        <f t="shared" si="9"/>
        <v>0.80864197530864201</v>
      </c>
      <c r="AB19" s="14">
        <f t="shared" si="10"/>
        <v>22.676107480029049</v>
      </c>
      <c r="AC19" s="13">
        <f t="shared" si="13"/>
        <v>2.5161509690581636E-2</v>
      </c>
      <c r="AD19" s="13">
        <f t="shared" si="11"/>
        <v>2.8841010483128295E-2</v>
      </c>
    </row>
    <row r="20" spans="1:30" x14ac:dyDescent="0.25">
      <c r="B20" s="4" t="s">
        <v>89</v>
      </c>
      <c r="C20" s="1" t="s">
        <v>13</v>
      </c>
      <c r="D20" s="1">
        <v>10</v>
      </c>
      <c r="E20">
        <v>477</v>
      </c>
      <c r="F20">
        <v>81</v>
      </c>
      <c r="G20">
        <v>254</v>
      </c>
      <c r="H20">
        <v>254</v>
      </c>
      <c r="I20">
        <f t="shared" si="12"/>
        <v>234</v>
      </c>
      <c r="J20" s="13">
        <f t="shared" si="0"/>
        <v>2.8888888888888888</v>
      </c>
      <c r="K20" s="14">
        <f t="shared" si="1"/>
        <v>3.0732860520094563</v>
      </c>
      <c r="L20">
        <v>523</v>
      </c>
      <c r="M20">
        <v>507</v>
      </c>
      <c r="N20">
        <f t="shared" si="2"/>
        <v>495</v>
      </c>
      <c r="O20" s="13">
        <f t="shared" si="3"/>
        <v>6.1111111111111107</v>
      </c>
      <c r="P20" s="14">
        <f t="shared" si="4"/>
        <v>64.827948515891777</v>
      </c>
      <c r="R20">
        <v>262</v>
      </c>
      <c r="S20">
        <v>101</v>
      </c>
      <c r="T20">
        <v>105</v>
      </c>
      <c r="U20">
        <f t="shared" si="5"/>
        <v>83</v>
      </c>
      <c r="V20" s="13">
        <f t="shared" si="6"/>
        <v>1.0246913580246915</v>
      </c>
      <c r="W20" s="14">
        <f t="shared" si="7"/>
        <v>3.0137981118373278</v>
      </c>
      <c r="X20">
        <v>202</v>
      </c>
      <c r="Y20">
        <v>205</v>
      </c>
      <c r="Z20">
        <f t="shared" si="8"/>
        <v>183.5</v>
      </c>
      <c r="AA20" s="13">
        <f t="shared" si="9"/>
        <v>2.2654320987654319</v>
      </c>
      <c r="AB20" s="14">
        <f t="shared" si="10"/>
        <v>63.616557734204783</v>
      </c>
      <c r="AC20" s="13">
        <f t="shared" si="13"/>
        <v>1.9356460532931025E-2</v>
      </c>
      <c r="AD20" s="13">
        <f t="shared" si="11"/>
        <v>1.8686242730479686E-2</v>
      </c>
    </row>
    <row r="21" spans="1:30" x14ac:dyDescent="0.25">
      <c r="B21" s="4" t="s">
        <v>90</v>
      </c>
      <c r="C21" s="1" t="s">
        <v>19</v>
      </c>
      <c r="D21" s="1">
        <v>9</v>
      </c>
      <c r="E21">
        <v>492</v>
      </c>
      <c r="F21">
        <v>81</v>
      </c>
      <c r="J21" s="13"/>
      <c r="K21" s="14"/>
      <c r="L21">
        <v>426</v>
      </c>
      <c r="M21">
        <v>433</v>
      </c>
      <c r="N21">
        <f t="shared" si="2"/>
        <v>409.5</v>
      </c>
      <c r="O21" s="13">
        <f t="shared" si="3"/>
        <v>5.0555555555555554</v>
      </c>
      <c r="P21" s="14">
        <f t="shared" si="4"/>
        <v>56.172839506172842</v>
      </c>
      <c r="R21">
        <v>244</v>
      </c>
      <c r="S21"/>
      <c r="T21"/>
      <c r="V21" s="13"/>
      <c r="W21" s="14"/>
      <c r="Z21"/>
      <c r="AB21" s="14"/>
      <c r="AC21" s="13"/>
      <c r="AD21" s="13"/>
    </row>
    <row r="22" spans="1:30" ht="30" x14ac:dyDescent="0.25">
      <c r="B22" s="4" t="s">
        <v>91</v>
      </c>
      <c r="C22" s="1" t="s">
        <v>20</v>
      </c>
      <c r="D22" s="1">
        <v>10</v>
      </c>
      <c r="E22">
        <v>444</v>
      </c>
      <c r="F22">
        <v>81</v>
      </c>
      <c r="G22">
        <v>207</v>
      </c>
      <c r="H22">
        <v>195</v>
      </c>
      <c r="I22">
        <f t="shared" si="12"/>
        <v>181</v>
      </c>
      <c r="J22" s="13">
        <f t="shared" si="0"/>
        <v>2.2345679012345681</v>
      </c>
      <c r="K22" s="14">
        <f t="shared" si="1"/>
        <v>2.3771998949303916</v>
      </c>
      <c r="L22">
        <v>379</v>
      </c>
      <c r="M22">
        <v>371</v>
      </c>
      <c r="N22">
        <f t="shared" si="2"/>
        <v>355</v>
      </c>
      <c r="O22" s="13">
        <f t="shared" si="3"/>
        <v>4.382716049382716</v>
      </c>
      <c r="P22" s="14">
        <f t="shared" si="4"/>
        <v>46.319645098210898</v>
      </c>
      <c r="R22">
        <v>279</v>
      </c>
      <c r="S22">
        <v>84</v>
      </c>
      <c r="T22">
        <v>85</v>
      </c>
      <c r="U22">
        <f t="shared" si="5"/>
        <v>64.5</v>
      </c>
      <c r="V22" s="13">
        <f t="shared" si="6"/>
        <v>0.79629629629629628</v>
      </c>
      <c r="W22" s="14">
        <f t="shared" si="7"/>
        <v>2.3420479302832242</v>
      </c>
      <c r="X22">
        <v>152</v>
      </c>
      <c r="Y22">
        <v>148</v>
      </c>
      <c r="Z22">
        <f t="shared" si="8"/>
        <v>130</v>
      </c>
      <c r="AA22" s="13">
        <f t="shared" si="9"/>
        <v>1.6049382716049383</v>
      </c>
      <c r="AB22" s="14">
        <f t="shared" si="10"/>
        <v>44.862018881626724</v>
      </c>
      <c r="AC22" s="13">
        <f t="shared" si="13"/>
        <v>1.4787130321742135E-2</v>
      </c>
      <c r="AD22" s="13">
        <f t="shared" si="11"/>
        <v>3.1468855460649349E-2</v>
      </c>
    </row>
    <row r="23" spans="1:30" ht="30" x14ac:dyDescent="0.25">
      <c r="B23" s="4" t="s">
        <v>92</v>
      </c>
      <c r="C23" s="1" t="s">
        <v>21</v>
      </c>
      <c r="D23" s="1">
        <v>4</v>
      </c>
      <c r="E23">
        <v>372</v>
      </c>
      <c r="F23">
        <v>81</v>
      </c>
      <c r="G23">
        <v>342</v>
      </c>
      <c r="H23">
        <v>337</v>
      </c>
      <c r="I23">
        <f t="shared" si="12"/>
        <v>319.5</v>
      </c>
      <c r="J23" s="13">
        <f t="shared" si="0"/>
        <v>3.9444444444444446</v>
      </c>
      <c r="K23" s="14">
        <f t="shared" si="1"/>
        <v>4.1962174940898347</v>
      </c>
      <c r="L23">
        <v>672</v>
      </c>
      <c r="M23">
        <v>677</v>
      </c>
      <c r="N23">
        <f t="shared" si="2"/>
        <v>654.5</v>
      </c>
      <c r="O23" s="13">
        <f t="shared" si="3"/>
        <v>8.0802469135802468</v>
      </c>
      <c r="P23" s="14">
        <f t="shared" si="4"/>
        <v>85.584303767912914</v>
      </c>
      <c r="R23">
        <v>270</v>
      </c>
      <c r="S23">
        <v>135</v>
      </c>
      <c r="T23">
        <v>131</v>
      </c>
      <c r="U23">
        <f t="shared" si="5"/>
        <v>113</v>
      </c>
      <c r="V23" s="13">
        <f t="shared" si="6"/>
        <v>1.3950617283950617</v>
      </c>
      <c r="W23" s="14">
        <f t="shared" si="7"/>
        <v>4.1031227305737108</v>
      </c>
      <c r="X23">
        <v>245</v>
      </c>
      <c r="Y23">
        <v>261</v>
      </c>
      <c r="Z23">
        <f t="shared" si="8"/>
        <v>233</v>
      </c>
      <c r="AA23" s="13">
        <f t="shared" si="9"/>
        <v>2.8765432098765431</v>
      </c>
      <c r="AB23" s="14">
        <f t="shared" si="10"/>
        <v>80.501089324618718</v>
      </c>
      <c r="AC23" s="13">
        <f t="shared" si="13"/>
        <v>2.2185399981588961E-2</v>
      </c>
      <c r="AD23" s="13">
        <f t="shared" si="11"/>
        <v>5.9394237254985813E-2</v>
      </c>
    </row>
    <row r="24" spans="1:30" x14ac:dyDescent="0.25">
      <c r="B24" s="4" t="s">
        <v>93</v>
      </c>
      <c r="C24" s="1" t="s">
        <v>11</v>
      </c>
      <c r="D24" s="1">
        <v>10</v>
      </c>
      <c r="E24" s="9">
        <v>480</v>
      </c>
      <c r="F24">
        <v>81</v>
      </c>
      <c r="J24" s="13"/>
      <c r="K24" s="14"/>
      <c r="N24"/>
      <c r="P24" s="14"/>
      <c r="R24">
        <v>276</v>
      </c>
      <c r="S24"/>
      <c r="T24"/>
      <c r="V24" s="13"/>
      <c r="W24" s="14"/>
      <c r="Z24"/>
      <c r="AB24" s="14"/>
      <c r="AC24" s="13"/>
      <c r="AD24" s="13"/>
    </row>
    <row r="25" spans="1:30" ht="30" x14ac:dyDescent="0.25">
      <c r="B25" s="4" t="s">
        <v>94</v>
      </c>
      <c r="C25" s="1" t="s">
        <v>10</v>
      </c>
      <c r="D25" s="1">
        <v>7</v>
      </c>
      <c r="E25" s="11">
        <v>249</v>
      </c>
      <c r="F25" s="11">
        <v>90</v>
      </c>
      <c r="G25" s="11">
        <v>373</v>
      </c>
      <c r="H25" s="11">
        <v>372</v>
      </c>
      <c r="I25">
        <f t="shared" si="12"/>
        <v>352.5</v>
      </c>
      <c r="J25" s="13">
        <f t="shared" si="0"/>
        <v>3.9166666666666665</v>
      </c>
      <c r="K25" s="14">
        <f t="shared" si="1"/>
        <v>4.166666666666667</v>
      </c>
      <c r="L25" s="11">
        <v>409</v>
      </c>
      <c r="M25" s="11">
        <v>419</v>
      </c>
      <c r="N25">
        <f t="shared" si="2"/>
        <v>394</v>
      </c>
      <c r="O25" s="13">
        <f t="shared" si="3"/>
        <v>4.3777777777777782</v>
      </c>
      <c r="P25" s="14">
        <f t="shared" si="4"/>
        <v>44.475308641975317</v>
      </c>
      <c r="R25">
        <v>256</v>
      </c>
      <c r="S25" s="11">
        <v>144</v>
      </c>
      <c r="T25" s="11">
        <v>148</v>
      </c>
      <c r="U25">
        <f t="shared" si="5"/>
        <v>126</v>
      </c>
      <c r="V25" s="13">
        <f t="shared" si="6"/>
        <v>1.4</v>
      </c>
      <c r="W25" s="14">
        <f t="shared" si="7"/>
        <v>4.117647058823529</v>
      </c>
      <c r="X25" s="11">
        <v>162</v>
      </c>
      <c r="Y25" s="11">
        <v>165</v>
      </c>
      <c r="Z25">
        <f t="shared" si="8"/>
        <v>143.5</v>
      </c>
      <c r="AA25" s="13">
        <f t="shared" si="9"/>
        <v>1.5944444444444446</v>
      </c>
      <c r="AB25" s="14">
        <f t="shared" si="10"/>
        <v>42.777777777777779</v>
      </c>
      <c r="AC25" s="13">
        <f t="shared" si="13"/>
        <v>1.1764705882353111E-2</v>
      </c>
      <c r="AD25" s="13">
        <f t="shared" si="11"/>
        <v>3.8167938931297885E-2</v>
      </c>
    </row>
    <row r="26" spans="1:30" ht="30" x14ac:dyDescent="0.25">
      <c r="B26" s="4" t="s">
        <v>95</v>
      </c>
      <c r="C26" s="1" t="s">
        <v>11</v>
      </c>
      <c r="D26" s="1">
        <v>8</v>
      </c>
      <c r="E26" s="11">
        <v>387</v>
      </c>
      <c r="F26" s="11">
        <v>90</v>
      </c>
      <c r="G26" s="11">
        <v>285</v>
      </c>
      <c r="H26" s="11">
        <v>283</v>
      </c>
      <c r="I26">
        <f t="shared" si="12"/>
        <v>264</v>
      </c>
      <c r="J26" s="13">
        <f t="shared" si="0"/>
        <v>2.9333333333333331</v>
      </c>
      <c r="K26" s="14">
        <f t="shared" si="1"/>
        <v>3.1205673758865249</v>
      </c>
      <c r="L26" s="11">
        <v>237</v>
      </c>
      <c r="M26" s="11">
        <v>235</v>
      </c>
      <c r="N26">
        <f t="shared" si="2"/>
        <v>216</v>
      </c>
      <c r="O26" s="13">
        <f t="shared" si="3"/>
        <v>2.4</v>
      </c>
      <c r="P26" s="14">
        <f t="shared" si="4"/>
        <v>23.546099290780141</v>
      </c>
      <c r="R26">
        <v>232</v>
      </c>
      <c r="S26" s="11">
        <v>119</v>
      </c>
      <c r="T26" s="11">
        <v>110</v>
      </c>
      <c r="U26">
        <f t="shared" si="5"/>
        <v>94.5</v>
      </c>
      <c r="V26" s="13">
        <f t="shared" si="6"/>
        <v>1.05</v>
      </c>
      <c r="W26" s="14">
        <f t="shared" si="7"/>
        <v>3.0882352941176472</v>
      </c>
      <c r="X26" s="11">
        <v>98</v>
      </c>
      <c r="Y26" s="11">
        <v>98</v>
      </c>
      <c r="Z26">
        <f t="shared" si="8"/>
        <v>78</v>
      </c>
      <c r="AA26" s="13">
        <f t="shared" si="9"/>
        <v>0.8666666666666667</v>
      </c>
      <c r="AB26" s="14">
        <f t="shared" si="10"/>
        <v>22.401960784313722</v>
      </c>
      <c r="AC26" s="13">
        <f t="shared" si="13"/>
        <v>1.0360962566844899E-2</v>
      </c>
      <c r="AD26" s="13">
        <f t="shared" si="11"/>
        <v>4.8591424521615988E-2</v>
      </c>
    </row>
    <row r="27" spans="1:30" ht="30" x14ac:dyDescent="0.25">
      <c r="B27" s="4" t="s">
        <v>96</v>
      </c>
      <c r="C27" s="1" t="s">
        <v>12</v>
      </c>
      <c r="D27" s="1">
        <v>7</v>
      </c>
      <c r="E27" s="11">
        <v>349</v>
      </c>
      <c r="F27" s="11">
        <v>90</v>
      </c>
      <c r="G27" s="11">
        <v>212</v>
      </c>
      <c r="H27" s="11">
        <v>210</v>
      </c>
      <c r="I27">
        <f t="shared" si="12"/>
        <v>191</v>
      </c>
      <c r="J27" s="13">
        <f t="shared" si="0"/>
        <v>2.1222222222222222</v>
      </c>
      <c r="K27" s="14">
        <f t="shared" si="1"/>
        <v>2.2576832151300237</v>
      </c>
      <c r="L27" s="11">
        <v>270</v>
      </c>
      <c r="M27" s="11">
        <v>277</v>
      </c>
      <c r="N27">
        <f t="shared" si="2"/>
        <v>253.5</v>
      </c>
      <c r="O27" s="13">
        <f t="shared" si="3"/>
        <v>2.8166666666666669</v>
      </c>
      <c r="P27" s="14">
        <f t="shared" si="4"/>
        <v>29.038613081166279</v>
      </c>
      <c r="R27">
        <v>250</v>
      </c>
      <c r="S27" s="11">
        <v>88</v>
      </c>
      <c r="T27" s="11">
        <v>87</v>
      </c>
      <c r="U27">
        <f t="shared" si="5"/>
        <v>67.5</v>
      </c>
      <c r="V27" s="13">
        <f t="shared" si="6"/>
        <v>0.75</v>
      </c>
      <c r="W27" s="14">
        <f t="shared" si="7"/>
        <v>2.2058823529411762</v>
      </c>
      <c r="X27" s="11">
        <v>111</v>
      </c>
      <c r="Y27" s="11">
        <v>114</v>
      </c>
      <c r="Z27">
        <f t="shared" si="8"/>
        <v>92.5</v>
      </c>
      <c r="AA27" s="13">
        <f t="shared" si="9"/>
        <v>1.0277777777777777</v>
      </c>
      <c r="AB27" s="14">
        <f t="shared" si="10"/>
        <v>28.022875816993459</v>
      </c>
      <c r="AC27" s="13">
        <f t="shared" si="13"/>
        <v>2.2944256236526166E-2</v>
      </c>
      <c r="AD27" s="13">
        <f t="shared" si="11"/>
        <v>3.4978849070157629E-2</v>
      </c>
    </row>
    <row r="28" spans="1:30" ht="30" x14ac:dyDescent="0.25">
      <c r="B28" s="4" t="s">
        <v>97</v>
      </c>
      <c r="C28" s="1"/>
      <c r="D28" s="1"/>
      <c r="E28" s="11"/>
      <c r="F28" s="11"/>
      <c r="G28" s="11"/>
      <c r="H28" s="11"/>
      <c r="J28" s="13"/>
      <c r="K28" s="14"/>
      <c r="L28" s="11"/>
      <c r="M28" s="11"/>
      <c r="N28"/>
      <c r="P28" s="14"/>
      <c r="S28" s="11"/>
      <c r="T28" s="11"/>
      <c r="V28" s="13"/>
      <c r="W28" s="14"/>
      <c r="X28" s="11"/>
      <c r="Y28" s="11"/>
      <c r="Z28"/>
      <c r="AB28" s="14"/>
      <c r="AC28" s="13"/>
      <c r="AD28" s="13"/>
    </row>
    <row r="29" spans="1:30" ht="30" x14ac:dyDescent="0.25">
      <c r="A29" t="s">
        <v>121</v>
      </c>
      <c r="B29" s="4" t="s">
        <v>98</v>
      </c>
      <c r="C29" s="1" t="s">
        <v>10</v>
      </c>
      <c r="D29" s="1">
        <v>4</v>
      </c>
      <c r="E29" s="11">
        <v>345</v>
      </c>
      <c r="F29" s="11">
        <v>90</v>
      </c>
      <c r="G29" s="11">
        <v>353</v>
      </c>
      <c r="H29" s="11">
        <v>345</v>
      </c>
      <c r="I29">
        <f t="shared" si="12"/>
        <v>329</v>
      </c>
      <c r="J29" s="13">
        <f t="shared" si="0"/>
        <v>3.6555555555555554</v>
      </c>
      <c r="K29" s="14">
        <f t="shared" si="1"/>
        <v>3.8888888888888888</v>
      </c>
      <c r="L29" s="11">
        <v>303</v>
      </c>
      <c r="M29" s="11">
        <v>307</v>
      </c>
      <c r="N29">
        <f t="shared" si="2"/>
        <v>285</v>
      </c>
      <c r="O29" s="13">
        <f t="shared" si="3"/>
        <v>3.1666666666666665</v>
      </c>
      <c r="P29" s="14">
        <f t="shared" si="4"/>
        <v>31.296296296296294</v>
      </c>
      <c r="R29">
        <v>238</v>
      </c>
      <c r="S29" s="11">
        <v>135</v>
      </c>
      <c r="T29" s="11">
        <v>141</v>
      </c>
      <c r="U29">
        <f t="shared" si="5"/>
        <v>118</v>
      </c>
      <c r="V29" s="13">
        <f t="shared" si="6"/>
        <v>1.3111111111111111</v>
      </c>
      <c r="W29" s="14">
        <f t="shared" si="7"/>
        <v>3.856209150326797</v>
      </c>
      <c r="X29" s="11">
        <v>121</v>
      </c>
      <c r="Y29" s="11">
        <v>129</v>
      </c>
      <c r="Z29">
        <f t="shared" si="8"/>
        <v>105</v>
      </c>
      <c r="AA29" s="13">
        <f t="shared" si="9"/>
        <v>1.1666666666666667</v>
      </c>
      <c r="AB29" s="14">
        <f t="shared" si="10"/>
        <v>30.457516339869279</v>
      </c>
      <c r="AC29" s="13">
        <f t="shared" si="13"/>
        <v>8.4033613445378998E-3</v>
      </c>
      <c r="AD29" s="13">
        <f t="shared" si="11"/>
        <v>2.6801253045596919E-2</v>
      </c>
    </row>
    <row r="30" spans="1:30" ht="30" x14ac:dyDescent="0.25">
      <c r="B30" s="4" t="s">
        <v>99</v>
      </c>
      <c r="C30" s="1" t="s">
        <v>10</v>
      </c>
      <c r="D30" s="1">
        <v>12</v>
      </c>
      <c r="E30" s="11">
        <v>172</v>
      </c>
      <c r="F30" s="11">
        <v>90</v>
      </c>
      <c r="G30" s="11">
        <v>492</v>
      </c>
      <c r="H30" s="11">
        <v>493</v>
      </c>
      <c r="I30">
        <f t="shared" si="12"/>
        <v>472.5</v>
      </c>
      <c r="J30" s="13">
        <f t="shared" si="0"/>
        <v>5.25</v>
      </c>
      <c r="K30" s="14">
        <f t="shared" si="1"/>
        <v>5.585106382978724</v>
      </c>
      <c r="L30" s="11">
        <v>216</v>
      </c>
      <c r="M30" s="11">
        <v>214</v>
      </c>
      <c r="N30">
        <f t="shared" si="2"/>
        <v>195</v>
      </c>
      <c r="O30" s="13">
        <f t="shared" si="3"/>
        <v>2.1666666666666665</v>
      </c>
      <c r="P30" s="14">
        <f t="shared" si="4"/>
        <v>18.488967691095347</v>
      </c>
      <c r="R30">
        <v>241</v>
      </c>
      <c r="S30" s="11">
        <v>180</v>
      </c>
      <c r="T30" s="11">
        <v>198</v>
      </c>
      <c r="U30">
        <f t="shared" si="5"/>
        <v>169</v>
      </c>
      <c r="V30" s="13">
        <f t="shared" si="6"/>
        <v>1.8777777777777778</v>
      </c>
      <c r="W30" s="14">
        <f t="shared" si="7"/>
        <v>5.522875816993464</v>
      </c>
      <c r="X30" s="11">
        <v>85</v>
      </c>
      <c r="Y30" s="11">
        <v>96</v>
      </c>
      <c r="Z30">
        <f t="shared" si="8"/>
        <v>70.5</v>
      </c>
      <c r="AA30" s="13">
        <f t="shared" si="9"/>
        <v>0.78333333333333333</v>
      </c>
      <c r="AB30" s="14">
        <f t="shared" si="10"/>
        <v>17.516339869281047</v>
      </c>
      <c r="AC30" s="13">
        <f t="shared" si="13"/>
        <v>1.1142234671646552E-2</v>
      </c>
      <c r="AD30" s="13">
        <f t="shared" si="11"/>
        <v>5.2605847879908206E-2</v>
      </c>
    </row>
    <row r="31" spans="1:30" ht="30" x14ac:dyDescent="0.25">
      <c r="B31" s="4" t="s">
        <v>100</v>
      </c>
      <c r="C31" s="1" t="s">
        <v>13</v>
      </c>
      <c r="D31" s="1">
        <v>6</v>
      </c>
      <c r="E31" s="11">
        <v>457</v>
      </c>
      <c r="F31" s="11">
        <v>90</v>
      </c>
      <c r="G31" s="11">
        <v>642</v>
      </c>
      <c r="H31" s="11">
        <v>679</v>
      </c>
      <c r="I31">
        <f t="shared" si="12"/>
        <v>640.5</v>
      </c>
      <c r="J31" s="13">
        <f t="shared" si="0"/>
        <v>7.1166666666666663</v>
      </c>
      <c r="K31" s="14">
        <f t="shared" si="1"/>
        <v>7.5709219858156027</v>
      </c>
      <c r="L31" s="11">
        <v>388</v>
      </c>
      <c r="M31" s="11">
        <v>383</v>
      </c>
      <c r="N31">
        <f t="shared" si="2"/>
        <v>365.5</v>
      </c>
      <c r="O31" s="13">
        <f t="shared" si="3"/>
        <v>4.0611111111111109</v>
      </c>
      <c r="P31" s="14">
        <f t="shared" si="4"/>
        <v>37.552534804307854</v>
      </c>
      <c r="R31">
        <v>263</v>
      </c>
      <c r="S31" s="11">
        <v>248</v>
      </c>
      <c r="T31" s="11">
        <v>241</v>
      </c>
      <c r="U31">
        <f t="shared" si="5"/>
        <v>224.5</v>
      </c>
      <c r="V31" s="13">
        <f t="shared" si="6"/>
        <v>2.4944444444444445</v>
      </c>
      <c r="W31" s="14">
        <f t="shared" si="7"/>
        <v>7.3366013071895422</v>
      </c>
      <c r="X31" s="11">
        <v>149</v>
      </c>
      <c r="Y31" s="11">
        <v>151</v>
      </c>
      <c r="Z31">
        <f t="shared" si="8"/>
        <v>130</v>
      </c>
      <c r="AA31" s="13">
        <f t="shared" si="9"/>
        <v>1.4444444444444444</v>
      </c>
      <c r="AB31" s="14">
        <f t="shared" si="10"/>
        <v>35.147058823529413</v>
      </c>
      <c r="AC31" s="13">
        <f t="shared" si="13"/>
        <v>3.0950084952013616E-2</v>
      </c>
      <c r="AD31" s="13">
        <f t="shared" si="11"/>
        <v>6.4056287899438832E-2</v>
      </c>
    </row>
    <row r="32" spans="1:30" ht="30" x14ac:dyDescent="0.25">
      <c r="B32" s="4" t="s">
        <v>101</v>
      </c>
      <c r="C32" s="1" t="s">
        <v>11</v>
      </c>
      <c r="D32" s="1">
        <v>2</v>
      </c>
      <c r="E32" s="11">
        <v>50</v>
      </c>
      <c r="F32" s="11">
        <v>90</v>
      </c>
      <c r="G32" s="11">
        <v>205</v>
      </c>
      <c r="H32" s="11">
        <v>208</v>
      </c>
      <c r="I32">
        <f t="shared" si="12"/>
        <v>186.5</v>
      </c>
      <c r="J32" s="13">
        <f t="shared" si="0"/>
        <v>2.0722222222222224</v>
      </c>
      <c r="K32" s="14">
        <f t="shared" si="1"/>
        <v>2.2044917257683219</v>
      </c>
      <c r="L32" s="11">
        <v>239</v>
      </c>
      <c r="M32" s="11">
        <v>253</v>
      </c>
      <c r="N32">
        <f t="shared" si="2"/>
        <v>226</v>
      </c>
      <c r="O32" s="13">
        <f t="shared" si="3"/>
        <v>2.5111111111111111</v>
      </c>
      <c r="P32" s="14">
        <f t="shared" si="4"/>
        <v>25.696742842132913</v>
      </c>
      <c r="R32">
        <v>253</v>
      </c>
      <c r="S32" s="11">
        <v>82</v>
      </c>
      <c r="T32" s="11">
        <v>91</v>
      </c>
      <c r="U32">
        <f t="shared" si="5"/>
        <v>66.5</v>
      </c>
      <c r="V32" s="13">
        <f t="shared" si="6"/>
        <v>0.73888888888888893</v>
      </c>
      <c r="W32" s="14">
        <f t="shared" si="7"/>
        <v>2.1732026143790848</v>
      </c>
      <c r="X32" s="11">
        <v>101</v>
      </c>
      <c r="Y32" s="11">
        <v>102</v>
      </c>
      <c r="Z32">
        <f t="shared" si="8"/>
        <v>81.5</v>
      </c>
      <c r="AA32" s="13">
        <f t="shared" si="9"/>
        <v>0.90555555555555556</v>
      </c>
      <c r="AB32" s="14">
        <f t="shared" si="10"/>
        <v>24.460784313725487</v>
      </c>
      <c r="AC32" s="13">
        <f t="shared" si="13"/>
        <v>1.4193344898281262E-2</v>
      </c>
      <c r="AD32" s="13">
        <f t="shared" si="11"/>
        <v>4.809786734453065E-2</v>
      </c>
    </row>
    <row r="33" spans="2:30" ht="30" x14ac:dyDescent="0.25">
      <c r="B33" s="4" t="s">
        <v>102</v>
      </c>
      <c r="C33" s="1" t="s">
        <v>11</v>
      </c>
      <c r="D33" s="1">
        <v>2</v>
      </c>
      <c r="E33" s="11">
        <v>276</v>
      </c>
      <c r="F33" s="11">
        <v>90</v>
      </c>
      <c r="G33" s="11">
        <v>272</v>
      </c>
      <c r="H33" s="11">
        <v>266</v>
      </c>
      <c r="I33">
        <f t="shared" si="12"/>
        <v>249</v>
      </c>
      <c r="J33" s="13">
        <f t="shared" si="0"/>
        <v>2.7666666666666666</v>
      </c>
      <c r="K33" s="14">
        <f t="shared" si="1"/>
        <v>2.9432624113475176</v>
      </c>
      <c r="L33" s="11">
        <v>380</v>
      </c>
      <c r="M33" s="11">
        <v>370</v>
      </c>
      <c r="N33">
        <f t="shared" si="2"/>
        <v>355</v>
      </c>
      <c r="O33" s="13">
        <f t="shared" si="3"/>
        <v>3.9444444444444446</v>
      </c>
      <c r="P33" s="14">
        <f t="shared" si="4"/>
        <v>40.883898082479647</v>
      </c>
      <c r="R33">
        <v>251</v>
      </c>
      <c r="S33" s="11">
        <v>105</v>
      </c>
      <c r="T33" s="11">
        <v>112</v>
      </c>
      <c r="U33">
        <f t="shared" si="5"/>
        <v>88.5</v>
      </c>
      <c r="V33" s="13">
        <f t="shared" si="6"/>
        <v>0.98333333333333328</v>
      </c>
      <c r="W33" s="14">
        <f t="shared" si="7"/>
        <v>2.8921568627450975</v>
      </c>
      <c r="X33" s="11">
        <v>148</v>
      </c>
      <c r="Y33" s="11">
        <v>154</v>
      </c>
      <c r="Z33">
        <f t="shared" si="8"/>
        <v>131</v>
      </c>
      <c r="AA33" s="13">
        <f t="shared" si="9"/>
        <v>1.4555555555555555</v>
      </c>
      <c r="AB33" s="14">
        <f t="shared" si="10"/>
        <v>39.91830065359477</v>
      </c>
      <c r="AC33" s="13">
        <f t="shared" si="13"/>
        <v>1.736357193479816E-2</v>
      </c>
      <c r="AD33" s="13">
        <f t="shared" si="11"/>
        <v>2.3618037275625465E-2</v>
      </c>
    </row>
    <row r="34" spans="2:30" ht="30" x14ac:dyDescent="0.25">
      <c r="B34" s="4" t="s">
        <v>103</v>
      </c>
      <c r="C34" s="1" t="s">
        <v>12</v>
      </c>
      <c r="D34" s="1">
        <v>6</v>
      </c>
      <c r="E34" s="11">
        <v>405</v>
      </c>
      <c r="F34" s="11">
        <v>90</v>
      </c>
      <c r="G34" s="11">
        <v>175</v>
      </c>
      <c r="H34" s="11">
        <v>174</v>
      </c>
      <c r="I34">
        <f t="shared" si="12"/>
        <v>154.5</v>
      </c>
      <c r="J34" s="13">
        <f t="shared" si="0"/>
        <v>1.7166666666666666</v>
      </c>
      <c r="K34" s="14">
        <f t="shared" si="1"/>
        <v>1.8262411347517731</v>
      </c>
      <c r="L34" s="11">
        <v>302</v>
      </c>
      <c r="M34" s="11">
        <v>312</v>
      </c>
      <c r="N34">
        <f t="shared" si="2"/>
        <v>287</v>
      </c>
      <c r="O34" s="13">
        <f t="shared" si="3"/>
        <v>3.1888888888888891</v>
      </c>
      <c r="P34" s="14">
        <f t="shared" si="4"/>
        <v>33.605857630680326</v>
      </c>
      <c r="R34">
        <v>235</v>
      </c>
      <c r="S34" s="11">
        <v>74</v>
      </c>
      <c r="T34" s="11">
        <v>74</v>
      </c>
      <c r="U34">
        <f t="shared" si="5"/>
        <v>54</v>
      </c>
      <c r="V34" s="13">
        <f t="shared" si="6"/>
        <v>0.6</v>
      </c>
      <c r="W34" s="14">
        <f t="shared" si="7"/>
        <v>1.7647058823529409</v>
      </c>
      <c r="X34" s="11">
        <v>122</v>
      </c>
      <c r="Y34" s="11">
        <v>126</v>
      </c>
      <c r="Z34">
        <f t="shared" si="8"/>
        <v>104</v>
      </c>
      <c r="AA34" s="13">
        <f t="shared" si="9"/>
        <v>1.1555555555555554</v>
      </c>
      <c r="AB34" s="14">
        <f t="shared" si="10"/>
        <v>32.222222222222214</v>
      </c>
      <c r="AC34" s="13">
        <f t="shared" si="13"/>
        <v>3.3695031410622668E-2</v>
      </c>
      <c r="AD34" s="13">
        <f t="shared" si="11"/>
        <v>4.1172447484123353E-2</v>
      </c>
    </row>
    <row r="35" spans="2:30" ht="30" x14ac:dyDescent="0.25">
      <c r="B35" s="4" t="s">
        <v>104</v>
      </c>
      <c r="C35" s="1" t="s">
        <v>10</v>
      </c>
      <c r="D35" s="1">
        <v>4</v>
      </c>
      <c r="E35" s="11">
        <v>363</v>
      </c>
      <c r="F35" s="11">
        <v>90</v>
      </c>
      <c r="G35" s="11">
        <v>301</v>
      </c>
      <c r="H35" s="11">
        <v>311</v>
      </c>
      <c r="I35">
        <f t="shared" si="12"/>
        <v>286</v>
      </c>
      <c r="J35" s="13">
        <f t="shared" si="0"/>
        <v>3.1777777777777776</v>
      </c>
      <c r="K35" s="14">
        <f t="shared" si="1"/>
        <v>3.3806146572104017</v>
      </c>
      <c r="L35" s="11">
        <v>377</v>
      </c>
      <c r="M35" s="11">
        <v>358</v>
      </c>
      <c r="N35">
        <f t="shared" si="2"/>
        <v>347.5</v>
      </c>
      <c r="O35" s="13">
        <f t="shared" si="3"/>
        <v>3.8611111111111112</v>
      </c>
      <c r="P35" s="14">
        <f t="shared" si="4"/>
        <v>39.520619910690833</v>
      </c>
      <c r="R35">
        <v>264</v>
      </c>
      <c r="S35" s="11">
        <v>125</v>
      </c>
      <c r="T35" s="11">
        <v>117</v>
      </c>
      <c r="U35">
        <f t="shared" si="5"/>
        <v>101</v>
      </c>
      <c r="V35" s="13">
        <f t="shared" si="6"/>
        <v>1.1222222222222222</v>
      </c>
      <c r="W35" s="14">
        <f t="shared" si="7"/>
        <v>3.3006535947712417</v>
      </c>
      <c r="X35" s="11">
        <v>149</v>
      </c>
      <c r="Y35" s="11">
        <v>142</v>
      </c>
      <c r="Z35">
        <f t="shared" si="8"/>
        <v>125.5</v>
      </c>
      <c r="AA35" s="13">
        <f t="shared" si="9"/>
        <v>1.3944444444444444</v>
      </c>
      <c r="AB35" s="14">
        <f t="shared" si="10"/>
        <v>37.712418300653589</v>
      </c>
      <c r="AC35" s="13">
        <f t="shared" si="13"/>
        <v>2.3652817770464817E-2</v>
      </c>
      <c r="AD35" s="13">
        <f t="shared" si="11"/>
        <v>4.5753371635451054E-2</v>
      </c>
    </row>
    <row r="36" spans="2:30" x14ac:dyDescent="0.25">
      <c r="B36" s="4" t="s">
        <v>105</v>
      </c>
      <c r="C36" s="1" t="s">
        <v>11</v>
      </c>
      <c r="D36" s="1">
        <v>3</v>
      </c>
      <c r="E36" s="11">
        <v>253</v>
      </c>
      <c r="F36" s="11">
        <v>90</v>
      </c>
      <c r="G36" s="11">
        <v>393</v>
      </c>
      <c r="H36" s="11">
        <v>385</v>
      </c>
      <c r="I36">
        <f t="shared" si="12"/>
        <v>369</v>
      </c>
      <c r="J36" s="13">
        <f t="shared" si="0"/>
        <v>4.0999999999999996</v>
      </c>
      <c r="K36" s="14">
        <f t="shared" si="1"/>
        <v>4.3617021276595747</v>
      </c>
      <c r="L36" s="11">
        <v>587</v>
      </c>
      <c r="M36" s="11">
        <v>549</v>
      </c>
      <c r="N36">
        <f t="shared" si="2"/>
        <v>548</v>
      </c>
      <c r="O36" s="13">
        <f t="shared" si="3"/>
        <v>6.0888888888888886</v>
      </c>
      <c r="P36" s="14">
        <f t="shared" si="4"/>
        <v>63.292618859994739</v>
      </c>
      <c r="R36">
        <v>258</v>
      </c>
      <c r="S36" s="11">
        <v>147</v>
      </c>
      <c r="T36" s="11">
        <v>155</v>
      </c>
      <c r="U36">
        <f t="shared" si="5"/>
        <v>131</v>
      </c>
      <c r="V36" s="13">
        <f t="shared" si="6"/>
        <v>1.4555555555555555</v>
      </c>
      <c r="W36" s="14">
        <f t="shared" si="7"/>
        <v>4.2810457516339868</v>
      </c>
      <c r="X36" s="11">
        <v>221</v>
      </c>
      <c r="Y36" s="11">
        <v>216</v>
      </c>
      <c r="Z36">
        <f t="shared" si="8"/>
        <v>198.5</v>
      </c>
      <c r="AA36" s="13">
        <f t="shared" si="9"/>
        <v>2.2055555555555557</v>
      </c>
      <c r="AB36" s="14">
        <f t="shared" si="10"/>
        <v>60.588235294117645</v>
      </c>
      <c r="AC36" s="13">
        <f t="shared" si="13"/>
        <v>1.8491949625378673E-2</v>
      </c>
      <c r="AD36" s="13">
        <f t="shared" si="11"/>
        <v>4.2728261440078436E-2</v>
      </c>
    </row>
    <row r="37" spans="2:30" ht="30" x14ac:dyDescent="0.25">
      <c r="B37" s="4" t="s">
        <v>106</v>
      </c>
      <c r="C37" s="1" t="s">
        <v>11</v>
      </c>
      <c r="D37" s="1">
        <v>8</v>
      </c>
      <c r="E37" s="11">
        <v>76</v>
      </c>
      <c r="F37" s="11">
        <v>90</v>
      </c>
      <c r="G37" s="11">
        <v>313</v>
      </c>
      <c r="H37" s="11">
        <v>312</v>
      </c>
      <c r="I37">
        <f t="shared" si="12"/>
        <v>292.5</v>
      </c>
      <c r="J37" s="13">
        <f t="shared" si="0"/>
        <v>3.25</v>
      </c>
      <c r="K37" s="14">
        <f t="shared" si="1"/>
        <v>3.4574468085106385</v>
      </c>
      <c r="L37" s="11">
        <v>154</v>
      </c>
      <c r="M37" s="11">
        <v>169</v>
      </c>
      <c r="N37">
        <f t="shared" si="2"/>
        <v>141.5</v>
      </c>
      <c r="O37" s="13">
        <f t="shared" si="3"/>
        <v>1.5722222222222222</v>
      </c>
      <c r="P37" s="14">
        <f t="shared" si="4"/>
        <v>14.011688993958497</v>
      </c>
      <c r="R37">
        <v>243</v>
      </c>
      <c r="S37" s="11">
        <v>121</v>
      </c>
      <c r="T37" s="11">
        <v>129</v>
      </c>
      <c r="U37">
        <f t="shared" si="5"/>
        <v>105</v>
      </c>
      <c r="V37" s="13">
        <f t="shared" si="6"/>
        <v>1.1666666666666667</v>
      </c>
      <c r="W37" s="14">
        <f t="shared" si="7"/>
        <v>3.4313725490196076</v>
      </c>
      <c r="X37" s="11">
        <v>65</v>
      </c>
      <c r="Y37" s="11">
        <v>78</v>
      </c>
      <c r="Z37">
        <f t="shared" si="8"/>
        <v>51.5</v>
      </c>
      <c r="AA37" s="13">
        <f t="shared" si="9"/>
        <v>0.57222222222222219</v>
      </c>
      <c r="AB37" s="14">
        <f t="shared" si="10"/>
        <v>13.398692810457513</v>
      </c>
      <c r="AC37" s="13">
        <f t="shared" si="13"/>
        <v>7.541478129713528E-3</v>
      </c>
      <c r="AD37" s="13">
        <f t="shared" si="11"/>
        <v>4.3748914478853568E-2</v>
      </c>
    </row>
    <row r="38" spans="2:30" ht="30" x14ac:dyDescent="0.25">
      <c r="B38" s="4" t="s">
        <v>107</v>
      </c>
      <c r="C38" s="1" t="s">
        <v>10</v>
      </c>
      <c r="D38" s="1">
        <v>9</v>
      </c>
      <c r="E38" s="11">
        <v>399</v>
      </c>
      <c r="F38" s="11">
        <v>90</v>
      </c>
      <c r="G38" s="11">
        <v>756</v>
      </c>
      <c r="H38" s="11">
        <v>736</v>
      </c>
      <c r="I38">
        <f t="shared" si="12"/>
        <v>726</v>
      </c>
      <c r="J38" s="13">
        <f t="shared" si="0"/>
        <v>8.0666666666666664</v>
      </c>
      <c r="K38" s="14">
        <f t="shared" si="1"/>
        <v>8.5815602836879439</v>
      </c>
      <c r="L38" s="11">
        <v>302</v>
      </c>
      <c r="M38" s="11">
        <v>305</v>
      </c>
      <c r="N38">
        <f t="shared" si="2"/>
        <v>283.5</v>
      </c>
      <c r="O38" s="13">
        <f t="shared" si="3"/>
        <v>3.15</v>
      </c>
      <c r="P38" s="14">
        <f t="shared" si="4"/>
        <v>26.418439716312058</v>
      </c>
      <c r="R38">
        <v>247</v>
      </c>
      <c r="S38" s="11">
        <v>277</v>
      </c>
      <c r="T38" s="11">
        <v>279</v>
      </c>
      <c r="U38">
        <f t="shared" si="5"/>
        <v>258</v>
      </c>
      <c r="V38" s="13">
        <f t="shared" si="6"/>
        <v>2.8666666666666667</v>
      </c>
      <c r="W38" s="14">
        <f t="shared" si="7"/>
        <v>8.4313725490196081</v>
      </c>
      <c r="X38" s="11"/>
      <c r="Y38" s="11"/>
      <c r="Z38"/>
      <c r="AB38" s="14"/>
      <c r="AC38" s="13">
        <f t="shared" si="13"/>
        <v>1.7501215362177972E-2</v>
      </c>
      <c r="AD38" s="13"/>
    </row>
    <row r="39" spans="2:30" ht="30" x14ac:dyDescent="0.25">
      <c r="B39" s="4" t="s">
        <v>108</v>
      </c>
      <c r="C39" s="1" t="s">
        <v>11</v>
      </c>
      <c r="D39" s="1">
        <v>7</v>
      </c>
      <c r="E39" s="11">
        <v>368</v>
      </c>
      <c r="F39" s="11">
        <v>90</v>
      </c>
      <c r="G39" s="11">
        <v>741</v>
      </c>
      <c r="H39" s="11">
        <v>728</v>
      </c>
      <c r="I39">
        <f t="shared" si="12"/>
        <v>714.5</v>
      </c>
      <c r="J39" s="13">
        <f t="shared" si="0"/>
        <v>7.9388888888888891</v>
      </c>
      <c r="K39" s="14">
        <f t="shared" si="1"/>
        <v>8.4456264775413725</v>
      </c>
      <c r="L39" s="11">
        <v>629</v>
      </c>
      <c r="M39" s="11">
        <v>587</v>
      </c>
      <c r="N39">
        <f t="shared" si="2"/>
        <v>588</v>
      </c>
      <c r="O39" s="13">
        <f t="shared" si="3"/>
        <v>6.5333333333333332</v>
      </c>
      <c r="P39" s="14">
        <f t="shared" si="4"/>
        <v>64.146966115051228</v>
      </c>
      <c r="R39">
        <v>245</v>
      </c>
      <c r="S39" s="11">
        <v>264</v>
      </c>
      <c r="T39" s="11">
        <v>271</v>
      </c>
      <c r="U39">
        <f t="shared" si="5"/>
        <v>247.5</v>
      </c>
      <c r="V39" s="13">
        <f t="shared" si="6"/>
        <v>2.75</v>
      </c>
      <c r="W39" s="14">
        <f t="shared" si="7"/>
        <v>8.0882352941176467</v>
      </c>
      <c r="X39" s="11">
        <v>228</v>
      </c>
      <c r="Y39" s="11">
        <v>235</v>
      </c>
      <c r="Z39">
        <f t="shared" si="8"/>
        <v>211.5</v>
      </c>
      <c r="AA39" s="13">
        <f t="shared" si="9"/>
        <v>2.35</v>
      </c>
      <c r="AB39" s="14">
        <f t="shared" si="10"/>
        <v>61.029411764705877</v>
      </c>
      <c r="AC39" s="13">
        <f t="shared" si="13"/>
        <v>4.2316716749681169E-2</v>
      </c>
      <c r="AD39" s="13">
        <f t="shared" si="11"/>
        <v>4.8600183908212281E-2</v>
      </c>
    </row>
    <row r="40" spans="2:30" ht="30" x14ac:dyDescent="0.25">
      <c r="B40" s="4" t="s">
        <v>109</v>
      </c>
      <c r="C40" s="1" t="s">
        <v>15</v>
      </c>
      <c r="D40" s="1">
        <v>6</v>
      </c>
      <c r="E40" s="11">
        <v>284</v>
      </c>
      <c r="F40" s="11">
        <v>90</v>
      </c>
      <c r="G40" s="11">
        <v>634</v>
      </c>
      <c r="H40" s="11">
        <v>630</v>
      </c>
      <c r="I40">
        <f t="shared" si="12"/>
        <v>612</v>
      </c>
      <c r="J40" s="13">
        <f t="shared" si="0"/>
        <v>6.8</v>
      </c>
      <c r="K40" s="14">
        <f t="shared" si="1"/>
        <v>7.2340425531914896</v>
      </c>
      <c r="L40" s="11">
        <v>312</v>
      </c>
      <c r="M40" s="11">
        <v>292</v>
      </c>
      <c r="N40">
        <f t="shared" si="2"/>
        <v>282</v>
      </c>
      <c r="O40" s="13">
        <f t="shared" si="3"/>
        <v>3.1333333333333333</v>
      </c>
      <c r="P40" s="14">
        <f t="shared" si="4"/>
        <v>27.580772261623327</v>
      </c>
      <c r="R40">
        <v>246</v>
      </c>
      <c r="S40" s="11">
        <v>238</v>
      </c>
      <c r="T40" s="11">
        <v>241</v>
      </c>
      <c r="U40">
        <f t="shared" si="5"/>
        <v>219.5</v>
      </c>
      <c r="V40" s="13">
        <f t="shared" si="6"/>
        <v>2.4388888888888891</v>
      </c>
      <c r="W40" s="14">
        <f t="shared" si="7"/>
        <v>7.1732026143790852</v>
      </c>
      <c r="X40" s="11">
        <v>118</v>
      </c>
      <c r="Y40" s="11">
        <v>129</v>
      </c>
      <c r="Z40">
        <f t="shared" si="8"/>
        <v>103.5</v>
      </c>
      <c r="AA40" s="13">
        <f t="shared" si="9"/>
        <v>1.1499999999999999</v>
      </c>
      <c r="AB40" s="14">
        <f t="shared" si="10"/>
        <v>26.650326797385617</v>
      </c>
      <c r="AC40" s="13">
        <f t="shared" si="13"/>
        <v>8.4102268358323649E-3</v>
      </c>
      <c r="AD40" s="13">
        <f t="shared" si="11"/>
        <v>3.3735294117647266E-2</v>
      </c>
    </row>
    <row r="41" spans="2:30" ht="30" x14ac:dyDescent="0.25">
      <c r="B41" s="4" t="s">
        <v>110</v>
      </c>
      <c r="C41" s="1" t="s">
        <v>10</v>
      </c>
      <c r="D41" s="1">
        <v>4</v>
      </c>
      <c r="E41" s="11">
        <v>96</v>
      </c>
      <c r="F41" s="11">
        <v>90</v>
      </c>
      <c r="G41" s="11">
        <v>267</v>
      </c>
      <c r="H41" s="11">
        <v>289</v>
      </c>
      <c r="I41">
        <f t="shared" si="12"/>
        <v>258</v>
      </c>
      <c r="J41" s="13">
        <f t="shared" si="0"/>
        <v>2.8666666666666667</v>
      </c>
      <c r="K41" s="14">
        <f t="shared" si="1"/>
        <v>3.0496453900709222</v>
      </c>
      <c r="L41" s="11">
        <v>617</v>
      </c>
      <c r="M41" s="11">
        <v>621</v>
      </c>
      <c r="N41">
        <f t="shared" si="2"/>
        <v>599</v>
      </c>
      <c r="O41" s="13">
        <f t="shared" si="3"/>
        <v>6.6555555555555559</v>
      </c>
      <c r="P41" s="14">
        <f t="shared" si="4"/>
        <v>70.900971893879699</v>
      </c>
      <c r="R41">
        <v>278</v>
      </c>
      <c r="S41" s="11">
        <v>108</v>
      </c>
      <c r="T41" s="11">
        <v>111</v>
      </c>
      <c r="U41">
        <f t="shared" si="5"/>
        <v>89.5</v>
      </c>
      <c r="V41" s="13">
        <f t="shared" si="6"/>
        <v>0.99444444444444446</v>
      </c>
      <c r="W41" s="14">
        <f t="shared" si="7"/>
        <v>2.9248366013071894</v>
      </c>
      <c r="X41" s="11">
        <v>234</v>
      </c>
      <c r="Y41" s="11">
        <v>238</v>
      </c>
      <c r="Z41">
        <f t="shared" si="8"/>
        <v>216</v>
      </c>
      <c r="AA41" s="13">
        <f t="shared" si="9"/>
        <v>2.4</v>
      </c>
      <c r="AB41" s="14">
        <f t="shared" si="10"/>
        <v>67.663398692810446</v>
      </c>
      <c r="AC41" s="13">
        <f t="shared" si="13"/>
        <v>4.0925672594619357E-2</v>
      </c>
      <c r="AD41" s="13">
        <f t="shared" si="11"/>
        <v>4.5663312005300258E-2</v>
      </c>
    </row>
    <row r="42" spans="2:30" ht="30" x14ac:dyDescent="0.25">
      <c r="B42" s="4" t="s">
        <v>111</v>
      </c>
      <c r="C42" s="1" t="s">
        <v>18</v>
      </c>
      <c r="D42" s="1">
        <v>8</v>
      </c>
      <c r="E42" s="11">
        <v>191</v>
      </c>
      <c r="F42" s="11">
        <v>90</v>
      </c>
      <c r="G42" s="11">
        <v>125</v>
      </c>
      <c r="H42" s="11">
        <v>128</v>
      </c>
      <c r="I42">
        <f t="shared" si="12"/>
        <v>106.5</v>
      </c>
      <c r="J42" s="13">
        <f t="shared" si="0"/>
        <v>1.1833333333333333</v>
      </c>
      <c r="K42" s="14">
        <f t="shared" si="1"/>
        <v>1.2588652482269505</v>
      </c>
      <c r="L42" s="11">
        <v>263</v>
      </c>
      <c r="M42" s="11">
        <v>266</v>
      </c>
      <c r="N42">
        <f t="shared" si="2"/>
        <v>244.5</v>
      </c>
      <c r="O42" s="13">
        <f t="shared" si="3"/>
        <v>2.7166666666666668</v>
      </c>
      <c r="P42" s="14">
        <f t="shared" si="4"/>
        <v>28.926319936958237</v>
      </c>
      <c r="R42">
        <v>242</v>
      </c>
      <c r="S42" s="11">
        <v>55</v>
      </c>
      <c r="T42" s="11">
        <v>60</v>
      </c>
      <c r="U42">
        <f t="shared" si="5"/>
        <v>37.5</v>
      </c>
      <c r="V42" s="13">
        <f t="shared" si="6"/>
        <v>0.41666666666666669</v>
      </c>
      <c r="W42" s="14">
        <f t="shared" si="7"/>
        <v>1.2254901960784312</v>
      </c>
      <c r="X42" s="11">
        <v>106</v>
      </c>
      <c r="Y42" s="11">
        <v>110</v>
      </c>
      <c r="Z42">
        <f t="shared" si="8"/>
        <v>88</v>
      </c>
      <c r="AA42" s="13">
        <f t="shared" si="9"/>
        <v>0.97777777777777775</v>
      </c>
      <c r="AB42" s="14">
        <f t="shared" si="10"/>
        <v>27.532679738562088</v>
      </c>
      <c r="AC42" s="13">
        <f t="shared" si="13"/>
        <v>2.651201325600681E-2</v>
      </c>
      <c r="AD42" s="13">
        <f t="shared" si="11"/>
        <v>4.8178966471830356E-2</v>
      </c>
    </row>
    <row r="43" spans="2:30" ht="30" x14ac:dyDescent="0.25">
      <c r="B43" s="4" t="s">
        <v>112</v>
      </c>
      <c r="C43" s="1" t="s">
        <v>11</v>
      </c>
      <c r="D43" s="1">
        <v>2</v>
      </c>
      <c r="E43" s="11">
        <v>21</v>
      </c>
      <c r="F43" s="11">
        <v>90</v>
      </c>
      <c r="G43" s="11">
        <v>459</v>
      </c>
      <c r="H43" s="11">
        <v>462</v>
      </c>
      <c r="I43">
        <f t="shared" si="12"/>
        <v>440.5</v>
      </c>
      <c r="J43" s="13">
        <f t="shared" si="0"/>
        <v>4.8944444444444448</v>
      </c>
      <c r="K43" s="14">
        <f t="shared" si="1"/>
        <v>5.2068557919621759</v>
      </c>
      <c r="L43" s="11"/>
      <c r="M43" s="11">
        <v>384</v>
      </c>
      <c r="N43">
        <f t="shared" si="2"/>
        <v>172</v>
      </c>
      <c r="O43" s="13">
        <f t="shared" si="3"/>
        <v>1.9111111111111112</v>
      </c>
      <c r="P43" s="14">
        <f t="shared" si="4"/>
        <v>16.027712109272393</v>
      </c>
      <c r="R43">
        <v>239</v>
      </c>
      <c r="S43" s="11">
        <v>174</v>
      </c>
      <c r="T43" s="11">
        <v>181</v>
      </c>
      <c r="U43">
        <f t="shared" si="5"/>
        <v>157.5</v>
      </c>
      <c r="V43" s="13">
        <f t="shared" si="6"/>
        <v>1.75</v>
      </c>
      <c r="W43" s="14">
        <f t="shared" si="7"/>
        <v>5.1470588235294112</v>
      </c>
      <c r="X43" s="11">
        <v>84</v>
      </c>
      <c r="Y43" s="11">
        <v>82</v>
      </c>
      <c r="Z43">
        <f t="shared" si="8"/>
        <v>63</v>
      </c>
      <c r="AA43" s="13">
        <f t="shared" si="9"/>
        <v>0.7</v>
      </c>
      <c r="AB43" s="14">
        <f t="shared" si="10"/>
        <v>15.441176470588234</v>
      </c>
      <c r="AC43" s="13">
        <f t="shared" si="13"/>
        <v>1.1484275889697809E-2</v>
      </c>
      <c r="AD43" s="13">
        <f t="shared" si="11"/>
        <v>3.659509446422083E-2</v>
      </c>
    </row>
    <row r="44" spans="2:30" x14ac:dyDescent="0.25">
      <c r="B44" s="4" t="s">
        <v>113</v>
      </c>
      <c r="C44" s="1" t="s">
        <v>13</v>
      </c>
      <c r="D44" s="1">
        <v>10</v>
      </c>
      <c r="E44" s="11">
        <v>136</v>
      </c>
      <c r="F44" s="11">
        <v>90</v>
      </c>
      <c r="G44" s="11">
        <v>340</v>
      </c>
      <c r="H44" s="11">
        <v>331</v>
      </c>
      <c r="I44">
        <f t="shared" si="12"/>
        <v>315.5</v>
      </c>
      <c r="J44" s="13">
        <f t="shared" si="0"/>
        <v>3.5055555555555555</v>
      </c>
      <c r="K44" s="14">
        <f t="shared" si="1"/>
        <v>3.7293144208037825</v>
      </c>
      <c r="L44" s="11">
        <v>343</v>
      </c>
      <c r="M44" s="11">
        <v>343</v>
      </c>
      <c r="N44">
        <f t="shared" si="2"/>
        <v>323</v>
      </c>
      <c r="O44" s="13">
        <f t="shared" si="3"/>
        <v>3.588888888888889</v>
      </c>
      <c r="P44" s="14">
        <f t="shared" si="4"/>
        <v>36.147228789072763</v>
      </c>
      <c r="R44">
        <v>252</v>
      </c>
      <c r="S44" s="11">
        <v>135</v>
      </c>
      <c r="T44" s="11">
        <v>132</v>
      </c>
      <c r="U44">
        <f t="shared" si="5"/>
        <v>113.5</v>
      </c>
      <c r="V44" s="13">
        <f t="shared" si="6"/>
        <v>1.2611111111111111</v>
      </c>
      <c r="W44" s="14">
        <f t="shared" si="7"/>
        <v>3.7091503267973853</v>
      </c>
      <c r="X44" s="11">
        <v>135</v>
      </c>
      <c r="Y44" s="11">
        <v>142</v>
      </c>
      <c r="Z44">
        <f t="shared" si="8"/>
        <v>118.5</v>
      </c>
      <c r="AA44" s="13">
        <f t="shared" si="9"/>
        <v>1.3166666666666667</v>
      </c>
      <c r="AB44" s="14">
        <f t="shared" si="10"/>
        <v>35.01633986928104</v>
      </c>
      <c r="AC44" s="13">
        <f t="shared" si="13"/>
        <v>5.4069171250117325E-3</v>
      </c>
      <c r="AD44" s="13">
        <f t="shared" si="11"/>
        <v>3.1285632610751839E-2</v>
      </c>
    </row>
    <row r="45" spans="2:30" ht="30" x14ac:dyDescent="0.25">
      <c r="B45" s="4" t="s">
        <v>114</v>
      </c>
      <c r="C45" s="1" t="s">
        <v>19</v>
      </c>
      <c r="D45" s="1">
        <v>9</v>
      </c>
      <c r="E45" s="11">
        <v>156</v>
      </c>
      <c r="F45" s="11">
        <v>90</v>
      </c>
      <c r="G45" s="11">
        <v>252</v>
      </c>
      <c r="H45" s="11">
        <v>259</v>
      </c>
      <c r="I45">
        <f t="shared" si="12"/>
        <v>235.5</v>
      </c>
      <c r="J45" s="13">
        <f t="shared" si="0"/>
        <v>2.6166666666666667</v>
      </c>
      <c r="K45" s="14">
        <f t="shared" si="1"/>
        <v>2.7836879432624118</v>
      </c>
      <c r="L45" s="11">
        <v>435</v>
      </c>
      <c r="M45" s="11">
        <v>431</v>
      </c>
      <c r="N45">
        <f t="shared" si="2"/>
        <v>413</v>
      </c>
      <c r="O45" s="13">
        <f t="shared" si="3"/>
        <v>4.5888888888888886</v>
      </c>
      <c r="P45" s="14">
        <f t="shared" si="4"/>
        <v>48.203966377725237</v>
      </c>
      <c r="R45">
        <v>234</v>
      </c>
      <c r="S45" s="11">
        <v>95</v>
      </c>
      <c r="T45" s="11">
        <v>111</v>
      </c>
      <c r="U45">
        <f t="shared" si="5"/>
        <v>83</v>
      </c>
      <c r="V45" s="13">
        <f t="shared" si="6"/>
        <v>0.92222222222222228</v>
      </c>
      <c r="W45" s="14">
        <f t="shared" si="7"/>
        <v>2.7124183006535949</v>
      </c>
      <c r="X45" s="11">
        <v>154</v>
      </c>
      <c r="Y45" s="11">
        <v>177</v>
      </c>
      <c r="Z45">
        <f t="shared" si="8"/>
        <v>145.5</v>
      </c>
      <c r="AA45" s="13">
        <f t="shared" si="9"/>
        <v>1.6166666666666667</v>
      </c>
      <c r="AB45" s="14">
        <f t="shared" si="10"/>
        <v>44.83660130718954</v>
      </c>
      <c r="AC45" s="13">
        <f t="shared" si="13"/>
        <v>2.5602597726988981E-2</v>
      </c>
      <c r="AD45" s="13">
        <f t="shared" si="11"/>
        <v>6.9856597362737707E-2</v>
      </c>
    </row>
    <row r="46" spans="2:30" ht="45" x14ac:dyDescent="0.25">
      <c r="B46" s="4" t="s">
        <v>115</v>
      </c>
      <c r="C46" s="1" t="s">
        <v>20</v>
      </c>
      <c r="D46" s="1">
        <v>10</v>
      </c>
      <c r="E46" s="11">
        <v>393</v>
      </c>
      <c r="F46" s="11">
        <v>90</v>
      </c>
      <c r="G46" s="11">
        <v>206</v>
      </c>
      <c r="H46" s="11">
        <v>206</v>
      </c>
      <c r="I46">
        <f t="shared" si="12"/>
        <v>186</v>
      </c>
      <c r="J46" s="13">
        <f t="shared" si="0"/>
        <v>2.0666666666666669</v>
      </c>
      <c r="K46" s="14">
        <f t="shared" si="1"/>
        <v>2.1985815602836882</v>
      </c>
      <c r="L46" s="11">
        <v>267</v>
      </c>
      <c r="M46" s="11">
        <v>267</v>
      </c>
      <c r="N46">
        <f t="shared" si="2"/>
        <v>247</v>
      </c>
      <c r="O46" s="13">
        <f t="shared" si="3"/>
        <v>2.7444444444444445</v>
      </c>
      <c r="P46" s="14">
        <f t="shared" si="4"/>
        <v>28.295245600210141</v>
      </c>
      <c r="R46">
        <v>231</v>
      </c>
      <c r="S46" s="11">
        <v>81</v>
      </c>
      <c r="T46" s="11">
        <v>89</v>
      </c>
      <c r="U46">
        <f t="shared" si="5"/>
        <v>65</v>
      </c>
      <c r="V46" s="13">
        <f t="shared" si="6"/>
        <v>0.72222222222222221</v>
      </c>
      <c r="W46" s="14">
        <f t="shared" si="7"/>
        <v>2.1241830065359477</v>
      </c>
      <c r="X46" s="11">
        <v>105</v>
      </c>
      <c r="Y46" s="11">
        <v>107</v>
      </c>
      <c r="Z46">
        <f t="shared" si="8"/>
        <v>86</v>
      </c>
      <c r="AA46" s="13">
        <f t="shared" si="9"/>
        <v>0.9555555555555556</v>
      </c>
      <c r="AB46" s="14">
        <f t="shared" si="10"/>
        <v>25.980392156862745</v>
      </c>
      <c r="AC46" s="13">
        <f t="shared" si="13"/>
        <v>3.3839342188488421E-2</v>
      </c>
      <c r="AD46" s="13">
        <f t="shared" si="11"/>
        <v>8.1810685655621371E-2</v>
      </c>
    </row>
    <row r="47" spans="2:30" ht="30" x14ac:dyDescent="0.25">
      <c r="B47" s="4" t="s">
        <v>116</v>
      </c>
      <c r="C47" s="1" t="s">
        <v>21</v>
      </c>
      <c r="D47" s="1">
        <v>4</v>
      </c>
      <c r="E47" s="11">
        <v>183</v>
      </c>
      <c r="F47" s="11">
        <v>90</v>
      </c>
      <c r="G47" s="11">
        <v>359</v>
      </c>
      <c r="H47" s="11">
        <v>358</v>
      </c>
      <c r="I47">
        <f t="shared" si="12"/>
        <v>338.5</v>
      </c>
      <c r="J47" s="13">
        <f t="shared" si="0"/>
        <v>3.7611111111111111</v>
      </c>
      <c r="K47" s="14">
        <f t="shared" si="1"/>
        <v>4.001182033096927</v>
      </c>
      <c r="L47" s="11">
        <v>913</v>
      </c>
      <c r="M47" s="11">
        <v>942</v>
      </c>
      <c r="N47">
        <f t="shared" si="2"/>
        <v>907.5</v>
      </c>
      <c r="O47" s="13">
        <f t="shared" si="3"/>
        <v>10.083333333333334</v>
      </c>
      <c r="P47" s="14">
        <f t="shared" si="4"/>
        <v>108.03585500394013</v>
      </c>
      <c r="R47">
        <v>237</v>
      </c>
      <c r="S47" s="11">
        <v>138</v>
      </c>
      <c r="T47" s="11">
        <v>141</v>
      </c>
      <c r="U47">
        <f t="shared" si="5"/>
        <v>119.5</v>
      </c>
      <c r="V47" s="13">
        <f t="shared" si="6"/>
        <v>1.3277777777777777</v>
      </c>
      <c r="W47" s="14">
        <f t="shared" si="7"/>
        <v>3.9052287581699341</v>
      </c>
      <c r="X47" s="11">
        <v>326</v>
      </c>
      <c r="Y47" s="11">
        <v>332</v>
      </c>
      <c r="Z47">
        <f t="shared" si="8"/>
        <v>309</v>
      </c>
      <c r="AA47" s="13">
        <f t="shared" si="9"/>
        <v>3.4333333333333331</v>
      </c>
      <c r="AB47" s="14">
        <f t="shared" si="10"/>
        <v>97.075163398692794</v>
      </c>
      <c r="AC47" s="13">
        <f t="shared" si="13"/>
        <v>2.3981232079242538E-2</v>
      </c>
      <c r="AD47" s="13">
        <f t="shared" si="11"/>
        <v>0.10145420337394091</v>
      </c>
    </row>
    <row r="48" spans="2:30" ht="30" x14ac:dyDescent="0.25">
      <c r="B48" s="4" t="s">
        <v>117</v>
      </c>
      <c r="C48" s="1" t="s">
        <v>11</v>
      </c>
      <c r="D48" s="1">
        <v>10</v>
      </c>
      <c r="E48" s="11">
        <v>31</v>
      </c>
      <c r="F48" s="11">
        <v>90</v>
      </c>
      <c r="G48" s="11">
        <v>316</v>
      </c>
      <c r="H48" s="11">
        <v>320</v>
      </c>
      <c r="I48">
        <f t="shared" si="12"/>
        <v>298</v>
      </c>
      <c r="J48" s="13">
        <f t="shared" si="0"/>
        <v>3.3111111111111109</v>
      </c>
      <c r="K48" s="14">
        <f t="shared" si="1"/>
        <v>3.5224586288416075</v>
      </c>
      <c r="L48" s="11">
        <v>450</v>
      </c>
      <c r="M48" s="11">
        <v>439</v>
      </c>
      <c r="N48">
        <f t="shared" si="2"/>
        <v>424.5</v>
      </c>
      <c r="O48" s="13">
        <f t="shared" si="3"/>
        <v>4.7166666666666668</v>
      </c>
      <c r="P48" s="14">
        <f t="shared" si="4"/>
        <v>48.884948778565807</v>
      </c>
      <c r="R48">
        <v>240</v>
      </c>
      <c r="S48" s="11">
        <v>137</v>
      </c>
      <c r="T48" s="11">
        <v>137</v>
      </c>
      <c r="U48">
        <f t="shared" si="5"/>
        <v>117</v>
      </c>
      <c r="V48" s="13">
        <f t="shared" si="6"/>
        <v>1.3</v>
      </c>
      <c r="W48" s="14">
        <f t="shared" si="7"/>
        <v>3.8235294117647056</v>
      </c>
      <c r="X48" s="11">
        <v>172</v>
      </c>
      <c r="Y48" s="11">
        <v>175</v>
      </c>
      <c r="Z48">
        <f t="shared" si="8"/>
        <v>153.5</v>
      </c>
      <c r="AA48" s="13">
        <f t="shared" si="9"/>
        <v>1.7055555555555555</v>
      </c>
      <c r="AB48" s="14">
        <f t="shared" si="10"/>
        <v>46.33986928104575</v>
      </c>
      <c r="AC48" s="13">
        <f t="shared" si="13"/>
        <v>-8.5471772601658044E-2</v>
      </c>
      <c r="AD48" s="13">
        <f t="shared" si="11"/>
        <v>5.2062640160440904E-2</v>
      </c>
    </row>
    <row r="49" spans="2:30" ht="30" x14ac:dyDescent="0.25">
      <c r="B49" s="4" t="s">
        <v>118</v>
      </c>
      <c r="C49" s="1" t="s">
        <v>11</v>
      </c>
      <c r="D49" s="1"/>
      <c r="E49" s="11">
        <v>202</v>
      </c>
      <c r="F49" s="11">
        <v>90</v>
      </c>
      <c r="G49" s="11">
        <v>194</v>
      </c>
      <c r="H49" s="11">
        <v>193</v>
      </c>
      <c r="I49">
        <f t="shared" si="12"/>
        <v>173.5</v>
      </c>
      <c r="J49" s="13">
        <f t="shared" si="0"/>
        <v>1.9277777777777778</v>
      </c>
      <c r="K49" s="14">
        <f t="shared" si="1"/>
        <v>2.0508274231678487</v>
      </c>
      <c r="L49" s="11">
        <v>259</v>
      </c>
      <c r="M49" s="11">
        <v>258</v>
      </c>
      <c r="N49">
        <f t="shared" si="2"/>
        <v>238.5</v>
      </c>
      <c r="O49" s="13">
        <f t="shared" si="3"/>
        <v>2.65</v>
      </c>
      <c r="P49" s="14">
        <f t="shared" si="4"/>
        <v>27.393617021276594</v>
      </c>
      <c r="R49">
        <v>233</v>
      </c>
      <c r="S49" s="11">
        <v>76</v>
      </c>
      <c r="T49" s="11">
        <v>84</v>
      </c>
      <c r="U49">
        <f t="shared" si="5"/>
        <v>60</v>
      </c>
      <c r="V49" s="13">
        <f t="shared" si="6"/>
        <v>0.66666666666666663</v>
      </c>
      <c r="W49" s="14">
        <f t="shared" si="7"/>
        <v>1.9607843137254899</v>
      </c>
      <c r="X49" s="11">
        <v>104</v>
      </c>
      <c r="Y49" s="11">
        <v>110</v>
      </c>
      <c r="Z49">
        <f t="shared" si="8"/>
        <v>87</v>
      </c>
      <c r="AA49" s="13">
        <f t="shared" si="9"/>
        <v>0.96666666666666667</v>
      </c>
      <c r="AB49" s="14">
        <f t="shared" si="10"/>
        <v>26.470588235294116</v>
      </c>
      <c r="AC49" s="13">
        <f t="shared" si="13"/>
        <v>4.3905746736735196E-2</v>
      </c>
      <c r="AD49" s="13">
        <f t="shared" si="11"/>
        <v>3.3695031410622488E-2</v>
      </c>
    </row>
    <row r="50" spans="2:30" x14ac:dyDescent="0.25">
      <c r="B50" s="4"/>
      <c r="C50" s="1" t="s">
        <v>11</v>
      </c>
      <c r="D50" s="1"/>
      <c r="E50" s="11">
        <v>485</v>
      </c>
      <c r="F50" s="11">
        <v>90</v>
      </c>
      <c r="G50" s="11">
        <v>1062</v>
      </c>
      <c r="H50" s="11">
        <v>1066</v>
      </c>
      <c r="I50">
        <f t="shared" si="12"/>
        <v>1044</v>
      </c>
      <c r="J50" s="13">
        <f t="shared" si="0"/>
        <v>11.6</v>
      </c>
      <c r="K50" s="14">
        <f t="shared" si="1"/>
        <v>12.340425531914894</v>
      </c>
      <c r="L50" s="11">
        <v>534</v>
      </c>
      <c r="M50" s="11">
        <v>526</v>
      </c>
      <c r="N50">
        <f t="shared" si="2"/>
        <v>510</v>
      </c>
      <c r="O50" s="13">
        <f t="shared" si="3"/>
        <v>5.666666666666667</v>
      </c>
      <c r="P50" s="14">
        <f t="shared" si="4"/>
        <v>50.622537431048073</v>
      </c>
      <c r="R50">
        <v>236</v>
      </c>
      <c r="S50" s="11">
        <v>395</v>
      </c>
      <c r="T50" s="11">
        <v>382</v>
      </c>
      <c r="U50">
        <f t="shared" si="5"/>
        <v>368.5</v>
      </c>
      <c r="V50" s="13">
        <f t="shared" si="6"/>
        <v>4.0944444444444441</v>
      </c>
      <c r="W50" s="14">
        <f t="shared" si="7"/>
        <v>12.042483660130717</v>
      </c>
      <c r="X50" s="11">
        <v>205</v>
      </c>
      <c r="Y50" s="11">
        <v>201</v>
      </c>
      <c r="Z50">
        <f t="shared" si="8"/>
        <v>183</v>
      </c>
      <c r="AA50" s="13">
        <f t="shared" si="9"/>
        <v>2.0333333333333332</v>
      </c>
      <c r="AB50" s="14">
        <f t="shared" si="10"/>
        <v>47.761437908496731</v>
      </c>
      <c r="AC50" s="13">
        <f t="shared" si="13"/>
        <v>2.4143565472166072E-2</v>
      </c>
      <c r="AD50" s="13">
        <f t="shared" si="11"/>
        <v>5.6518295362977158E-2</v>
      </c>
    </row>
    <row r="51" spans="2:30" x14ac:dyDescent="0.25">
      <c r="B51" s="4"/>
      <c r="C51" s="1"/>
      <c r="D51" s="1"/>
      <c r="J51" s="13"/>
      <c r="K51" s="13"/>
      <c r="N51"/>
      <c r="P51" s="13"/>
      <c r="S51" s="11"/>
      <c r="T51" s="11"/>
      <c r="V51" s="13"/>
      <c r="W51" s="13"/>
      <c r="Z51"/>
      <c r="AB51" s="13"/>
      <c r="AC51" s="13"/>
      <c r="AD51" s="13"/>
    </row>
    <row r="52" spans="2:30" x14ac:dyDescent="0.25">
      <c r="C52" s="1"/>
      <c r="D52" s="1"/>
      <c r="J52" s="13"/>
      <c r="K52" s="13"/>
      <c r="N52"/>
      <c r="P52" s="13"/>
      <c r="S52"/>
      <c r="T52"/>
      <c r="V52" s="13"/>
      <c r="W52" s="13"/>
      <c r="Z52"/>
      <c r="AB52" s="13"/>
      <c r="AC52" s="13"/>
      <c r="AD52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Feuil1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2025-08-26T07:27:45Z</dcterms:modified>
</cp:coreProperties>
</file>