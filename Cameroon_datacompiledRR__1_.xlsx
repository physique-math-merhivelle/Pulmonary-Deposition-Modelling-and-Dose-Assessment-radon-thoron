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Sheet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<sst xmlns="http://schemas.openxmlformats.org/spreadsheetml/2006/main" count="334" uniqueCount="135">
  <si>
    <t xml:space="preserve">LOCALITIES</t>
  </si>
  <si>
    <t xml:space="preserve">Site_ID</t>
  </si>
  <si>
    <t xml:space="preserve">type of home</t>
  </si>
  <si>
    <t xml:space="preserve">floor 
number</t>
  </si>
  <si>
    <t xml:space="preserve">type of
 room</t>
  </si>
  <si>
    <t xml:space="preserve">No. of doors and windows</t>
  </si>
  <si>
    <t xml:space="preserve">No. of fans/
air-conditioning</t>
  </si>
  <si>
    <t xml:space="preserve">number of occupants
 in the house</t>
  </si>
  <si>
    <t xml:space="preserve">date of
 deployment </t>
  </si>
  <si>
    <t xml:space="preserve">date of retrieval</t>
  </si>
  <si>
    <t xml:space="preserve">NUMBER OF DAYS</t>
  </si>
  <si>
    <t xml:space="preserve">EERC (Bq/m3)</t>
  </si>
  <si>
    <t xml:space="preserve">EETC (Bq/m3)</t>
  </si>
  <si>
    <t xml:space="preserve">EERC-attached</t>
  </si>
  <si>
    <t xml:space="preserve">EETC-attached</t>
  </si>
  <si>
    <t xml:space="preserve">p-Rn</t>
  </si>
  <si>
    <t xml:space="preserve">p-Tn</t>
  </si>
  <si>
    <t xml:space="preserve">MOBILONG/YKM</t>
  </si>
  <si>
    <t xml:space="preserve">Site_001</t>
  </si>
  <si>
    <t xml:space="preserve">WIRENESH_CAPE</t>
  </si>
  <si>
    <t xml:space="preserve">living room</t>
  </si>
  <si>
    <t xml:space="preserve">1 door, 2 win</t>
  </si>
  <si>
    <t xml:space="preserve">Site_002</t>
  </si>
  <si>
    <t xml:space="preserve">1 door, 1 win</t>
  </si>
  <si>
    <t xml:space="preserve">Site_003</t>
  </si>
  <si>
    <t xml:space="preserve">1 door, 0 win</t>
  </si>
  <si>
    <t xml:space="preserve">Site_004</t>
  </si>
  <si>
    <t xml:space="preserve">Site_005</t>
  </si>
  <si>
    <t xml:space="preserve">Site_006</t>
  </si>
  <si>
    <t xml:space="preserve">1 door</t>
  </si>
  <si>
    <t xml:space="preserve">Site_007</t>
  </si>
  <si>
    <t xml:space="preserve">Site_008</t>
  </si>
  <si>
    <t xml:space="preserve">Site_009</t>
  </si>
  <si>
    <t xml:space="preserve">Site_010</t>
  </si>
  <si>
    <t xml:space="preserve">Site_011</t>
  </si>
  <si>
    <t xml:space="preserve">Site_012</t>
  </si>
  <si>
    <t xml:space="preserve">Site_013</t>
  </si>
  <si>
    <t xml:space="preserve">Site_014</t>
  </si>
  <si>
    <t xml:space="preserve">Site_015</t>
  </si>
  <si>
    <t xml:space="preserve">2 doors, 2 win</t>
  </si>
  <si>
    <t xml:space="preserve">Site_016</t>
  </si>
  <si>
    <t xml:space="preserve">Site_017</t>
  </si>
  <si>
    <t xml:space="preserve">1 door, 3 win</t>
  </si>
  <si>
    <t xml:space="preserve">Site_018</t>
  </si>
  <si>
    <t xml:space="preserve">Site_019</t>
  </si>
  <si>
    <t xml:space="preserve">Site_020</t>
  </si>
  <si>
    <t xml:space="preserve">2 doors </t>
  </si>
  <si>
    <t xml:space="preserve">Site_021</t>
  </si>
  <si>
    <t xml:space="preserve">2 doors</t>
  </si>
  <si>
    <t xml:space="preserve">Site_022</t>
  </si>
  <si>
    <t xml:space="preserve">2 doors, 1 win</t>
  </si>
  <si>
    <t xml:space="preserve">Site_023</t>
  </si>
  <si>
    <t xml:space="preserve">FONGO-TONGO</t>
  </si>
  <si>
    <t xml:space="preserve">Site_024</t>
  </si>
  <si>
    <t xml:space="preserve">Site_025</t>
  </si>
  <si>
    <t xml:space="preserve">Site_026</t>
  </si>
  <si>
    <t xml:space="preserve">Site_027</t>
  </si>
  <si>
    <t xml:space="preserve">Site_028</t>
  </si>
  <si>
    <t xml:space="preserve">Site_029</t>
  </si>
  <si>
    <t xml:space="preserve">Site_030</t>
  </si>
  <si>
    <t xml:space="preserve">Site_031</t>
  </si>
  <si>
    <t xml:space="preserve">Site_032</t>
  </si>
  <si>
    <t xml:space="preserve">Site_033</t>
  </si>
  <si>
    <t xml:space="preserve">Site_034</t>
  </si>
  <si>
    <t xml:space="preserve">Site_035</t>
  </si>
  <si>
    <t xml:space="preserve">Site_036</t>
  </si>
  <si>
    <t xml:space="preserve">Site_037</t>
  </si>
  <si>
    <t xml:space="preserve">Site_038</t>
  </si>
  <si>
    <t xml:space="preserve">Site_039</t>
  </si>
  <si>
    <t xml:space="preserve">Site_040</t>
  </si>
  <si>
    <t xml:space="preserve">Site_041</t>
  </si>
  <si>
    <t xml:space="preserve">Site_042</t>
  </si>
  <si>
    <t xml:space="preserve">Site_043</t>
  </si>
  <si>
    <t xml:space="preserve">Site_044</t>
  </si>
  <si>
    <t xml:space="preserve">Site_045</t>
  </si>
  <si>
    <t xml:space="preserve">Site_046</t>
  </si>
  <si>
    <t xml:space="preserve">Site_047</t>
  </si>
  <si>
    <t xml:space="preserve">Site_048</t>
  </si>
  <si>
    <t xml:space="preserve">House
 address</t>
  </si>
  <si>
    <t xml:space="preserve">DRPS/DTPS_ID </t>
  </si>
  <si>
    <t xml:space="preserve">DTPS </t>
  </si>
  <si>
    <t xml:space="preserve">av tr/cm2</t>
  </si>
  <si>
    <t xml:space="preserve">tr/cm2/d</t>
  </si>
  <si>
    <t xml:space="preserve">DRPS </t>
  </si>
  <si>
    <t xml:space="preserve">WIRENESH_ID</t>
  </si>
  <si>
    <t xml:space="preserve">EETCa (Bq/m3)</t>
  </si>
  <si>
    <t xml:space="preserve">EERCa (Bq/m3)</t>
  </si>
  <si>
    <t xml:space="preserve">TATIANA AWOUT</t>
  </si>
  <si>
    <t xml:space="preserve">MELI KOUAGANG</t>
  </si>
  <si>
    <t xml:space="preserve">FREDERIC KOUANGA</t>
  </si>
  <si>
    <t xml:space="preserve">MATTHIEU</t>
  </si>
  <si>
    <t xml:space="preserve">JONAS</t>
  </si>
  <si>
    <t xml:space="preserve">ESPE VEDEC</t>
  </si>
  <si>
    <t xml:space="preserve">OUSMANOU BAKARY</t>
  </si>
  <si>
    <t xml:space="preserve">KOMOLO JEREMIE</t>
  </si>
  <si>
    <t xml:space="preserve">ADIDJATOU</t>
  </si>
  <si>
    <t xml:space="preserve">ATOMI NEYE CLAVERS</t>
  </si>
  <si>
    <t xml:space="preserve">MENPILI JULES</t>
  </si>
  <si>
    <t xml:space="preserve">BIDJONDJABIBEN</t>
  </si>
  <si>
    <t xml:space="preserve">BABET MESSANI</t>
  </si>
  <si>
    <t xml:space="preserve">MVOGO</t>
  </si>
  <si>
    <t xml:space="preserve">ASSOULAMBONO GEORGES</t>
  </si>
  <si>
    <t xml:space="preserve">KA'ALAH REGINE</t>
  </si>
  <si>
    <t xml:space="preserve">EZOUEDO LOUCINE</t>
  </si>
  <si>
    <t xml:space="preserve">DJOUABINDI SANDOR</t>
  </si>
  <si>
    <t xml:space="preserve">NATHALIE</t>
  </si>
  <si>
    <t xml:space="preserve">ABENG</t>
  </si>
  <si>
    <t xml:space="preserve">LOZOAH PIERRE NOEL</t>
  </si>
  <si>
    <t xml:space="preserve">MPOKI HENRIE</t>
  </si>
  <si>
    <t xml:space="preserve">TEWOA</t>
  </si>
  <si>
    <t xml:space="preserve">NGUEMO RAMANIUS</t>
  </si>
  <si>
    <t xml:space="preserve">TSAMA EDOUAD</t>
  </si>
  <si>
    <t xml:space="preserve">TSAFACK ROSE</t>
  </si>
  <si>
    <t xml:space="preserve">TSAMA DELPHINE</t>
  </si>
  <si>
    <t xml:space="preserve">POSSIE SUZANE</t>
  </si>
  <si>
    <t xml:space="preserve">DJOUJEU LOIC MARTIAL</t>
  </si>
  <si>
    <t xml:space="preserve">ASAPGO JANETTE</t>
  </si>
  <si>
    <t xml:space="preserve">ZAMBO CHRETIEN</t>
  </si>
  <si>
    <t xml:space="preserve">NGUEJOU CLAUDE</t>
  </si>
  <si>
    <t xml:space="preserve">ATEUFACK LUCRESSE</t>
  </si>
  <si>
    <t xml:space="preserve">TEZENOU JUSTIN</t>
  </si>
  <si>
    <t xml:space="preserve">TSAMO</t>
  </si>
  <si>
    <t xml:space="preserve">DJOUFACK MARIE</t>
  </si>
  <si>
    <t xml:space="preserve">KUETE GERALDO</t>
  </si>
  <si>
    <t xml:space="preserve">KENFACK FELIX</t>
  </si>
  <si>
    <t xml:space="preserve">TSAWA THOMAS</t>
  </si>
  <si>
    <t xml:space="preserve">NUEFACK KEMDONG</t>
  </si>
  <si>
    <t xml:space="preserve">SONNA JULIENNE</t>
  </si>
  <si>
    <t xml:space="preserve">DJOUMESSI MATHIAS</t>
  </si>
  <si>
    <t xml:space="preserve">NGUENE JEAN</t>
  </si>
  <si>
    <t xml:space="preserve">DJEUTSA RENE</t>
  </si>
  <si>
    <t xml:space="preserve">AHIMELE ZIMO MARTHIN</t>
  </si>
  <si>
    <t xml:space="preserve">TSOPNGUE BERNARS</t>
  </si>
  <si>
    <t xml:space="preserve">NGUEGANG MARTHE</t>
  </si>
  <si>
    <t xml:space="preserve">KENANG KEMASSONG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</si>
</sst>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70C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7030A0"/>
      <name val="Calibri"/>
      <family val="2"/>
      <charset val="1"/>
    </font>
    <font>
      <b val="true"/>
      <sz val="11"/>
      <color rgb="FF7030A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13.43"/>
    <col collapsed="false" customWidth="true" hidden="false" outlineLevel="0" max="3" min="3" style="0" width="17.71"/>
    <col collapsed="false" customWidth="true" hidden="false" outlineLevel="0" max="7" min="7" style="0" width="11.43"/>
    <col collapsed="false" customWidth="true" hidden="false" outlineLevel="0" max="10" min="10" style="0" width="16.14"/>
    <col collapsed="false" customWidth="true" hidden="false" outlineLevel="0" max="11" min="11" style="0" width="14.14"/>
    <col collapsed="false" customWidth="true" hidden="false" outlineLevel="0" max="12" min="12" style="0" width="16.14"/>
    <col collapsed="false" customWidth="false" hidden="false" outlineLevel="0" max="14" min="14" style="1" width="8.72"/>
    <col collapsed="false" customWidth="true" hidden="false" outlineLevel="0" max="15" min="15" style="2" width="9.14"/>
    <col collapsed="false" customWidth="false" hidden="false" outlineLevel="0" max="23" min="17" style="2" width="8.72"/>
    <col collapsed="false" customWidth="true" hidden="false" outlineLevel="0" max="16384" min="16382" style="0" width="10.16"/>
  </cols>
  <sheetData>
    <row r="1" customFormat="false" ht="91" hidden="false" customHeight="tru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/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N1" s="7" t="s">
        <v>11</v>
      </c>
      <c r="O1" s="1" t="s">
        <v>12</v>
      </c>
      <c r="Q1" s="2" t="s">
        <v>13</v>
      </c>
      <c r="R1" s="2" t="s">
        <v>14</v>
      </c>
      <c r="U1" s="2" t="s">
        <v>15</v>
      </c>
      <c r="V1" s="2" t="s">
        <v>16</v>
      </c>
    </row>
    <row r="2" customFormat="false" ht="16.4" hidden="false" customHeight="false" outlineLevel="0" collapsed="false">
      <c r="A2" s="8" t="s">
        <v>17</v>
      </c>
      <c r="B2" s="9" t="s">
        <v>18</v>
      </c>
      <c r="C2" s="10" t="s">
        <v>19</v>
      </c>
      <c r="D2" s="10" t="n">
        <v>0</v>
      </c>
      <c r="E2" s="10" t="s">
        <v>20</v>
      </c>
      <c r="F2" s="10"/>
      <c r="G2" s="10" t="s">
        <v>21</v>
      </c>
      <c r="H2" s="10" t="n">
        <v>0</v>
      </c>
      <c r="I2" s="10" t="n">
        <v>7</v>
      </c>
      <c r="J2" s="11" t="n">
        <v>45615</v>
      </c>
      <c r="K2" s="11" t="n">
        <v>45694</v>
      </c>
      <c r="L2" s="12" t="n">
        <v>81</v>
      </c>
      <c r="O2" s="1"/>
    </row>
    <row r="3" customFormat="false" ht="16.4" hidden="false" customHeight="false" outlineLevel="0" collapsed="false">
      <c r="A3" s="8"/>
      <c r="B3" s="9" t="s">
        <v>22</v>
      </c>
      <c r="C3" s="10" t="s">
        <v>19</v>
      </c>
      <c r="D3" s="10" t="n">
        <v>0</v>
      </c>
      <c r="E3" s="10" t="s">
        <v>20</v>
      </c>
      <c r="F3" s="10"/>
      <c r="G3" s="10" t="s">
        <v>23</v>
      </c>
      <c r="H3" s="10" t="n">
        <v>0</v>
      </c>
      <c r="I3" s="10" t="n">
        <v>8</v>
      </c>
      <c r="J3" s="11" t="n">
        <v>45615</v>
      </c>
      <c r="K3" s="11" t="n">
        <v>45694</v>
      </c>
      <c r="L3" s="12" t="n">
        <v>81</v>
      </c>
      <c r="N3" s="1" t="n">
        <v>39.2836295712576</v>
      </c>
      <c r="O3" s="1" t="n">
        <v>4.40635671132125</v>
      </c>
      <c r="Q3" s="1" t="n">
        <v>37.962962962963</v>
      </c>
      <c r="R3" s="1" t="n">
        <v>4.33914306463326</v>
      </c>
      <c r="U3" s="1" t="n">
        <v>0.0336187522056505</v>
      </c>
      <c r="V3" s="1" t="n">
        <v>0.0152537915315158</v>
      </c>
    </row>
    <row r="4" customFormat="false" ht="16.4" hidden="false" customHeight="false" outlineLevel="0" collapsed="false">
      <c r="A4" s="8"/>
      <c r="B4" s="9" t="s">
        <v>24</v>
      </c>
      <c r="C4" s="10" t="s">
        <v>19</v>
      </c>
      <c r="D4" s="10" t="n">
        <v>0</v>
      </c>
      <c r="E4" s="10" t="s">
        <v>20</v>
      </c>
      <c r="F4" s="10"/>
      <c r="G4" s="10" t="s">
        <v>25</v>
      </c>
      <c r="H4" s="10" t="n">
        <v>0</v>
      </c>
      <c r="I4" s="10" t="n">
        <v>7</v>
      </c>
      <c r="J4" s="11" t="n">
        <v>45615</v>
      </c>
      <c r="K4" s="11" t="n">
        <v>45694</v>
      </c>
      <c r="L4" s="12" t="n">
        <v>81</v>
      </c>
      <c r="N4" s="1" t="n">
        <v>95.2266293085836</v>
      </c>
      <c r="O4" s="1" t="n">
        <v>2.78434462831626</v>
      </c>
      <c r="Q4" s="1" t="n">
        <v>91.8845315904139</v>
      </c>
      <c r="R4" s="1" t="n">
        <v>2.70515613652869</v>
      </c>
      <c r="U4" s="1" t="n">
        <v>0.0350962513577954</v>
      </c>
      <c r="V4" s="1" t="n">
        <v>0.0284406215316317</v>
      </c>
    </row>
    <row r="5" customFormat="false" ht="16.4" hidden="false" customHeight="false" outlineLevel="0" collapsed="false">
      <c r="A5" s="8"/>
      <c r="B5" s="9" t="s">
        <v>26</v>
      </c>
      <c r="C5" s="10" t="s">
        <v>19</v>
      </c>
      <c r="D5" s="10" t="n">
        <v>0</v>
      </c>
      <c r="E5" s="10" t="s">
        <v>20</v>
      </c>
      <c r="F5" s="10"/>
      <c r="G5" s="10" t="s">
        <v>21</v>
      </c>
      <c r="H5" s="10" t="n">
        <v>0</v>
      </c>
      <c r="I5" s="10" t="n">
        <v>4</v>
      </c>
      <c r="J5" s="11" t="n">
        <v>45615</v>
      </c>
      <c r="K5" s="11" t="n">
        <v>45694</v>
      </c>
      <c r="L5" s="12" t="n">
        <v>81</v>
      </c>
      <c r="N5" s="1" t="n">
        <v>64.0545194524706</v>
      </c>
      <c r="O5" s="1" t="n">
        <v>2.3377987916995</v>
      </c>
      <c r="Q5" s="1" t="n">
        <v>60.3304284676834</v>
      </c>
      <c r="R5" s="1" t="n">
        <v>2.30573710965868</v>
      </c>
      <c r="U5" s="1" t="n">
        <v>0.0581393946378844</v>
      </c>
      <c r="V5" s="1" t="n">
        <v>0.0137144745538665</v>
      </c>
    </row>
    <row r="6" customFormat="false" ht="16.4" hidden="false" customHeight="false" outlineLevel="0" collapsed="false">
      <c r="A6" s="8"/>
      <c r="B6" s="9" t="s">
        <v>27</v>
      </c>
      <c r="C6" s="10" t="s">
        <v>19</v>
      </c>
      <c r="D6" s="10" t="n">
        <v>0</v>
      </c>
      <c r="E6" s="10" t="s">
        <v>20</v>
      </c>
      <c r="F6" s="10"/>
      <c r="G6" s="10" t="s">
        <v>21</v>
      </c>
      <c r="H6" s="10" t="n">
        <v>0</v>
      </c>
      <c r="I6" s="10" t="n">
        <v>12</v>
      </c>
      <c r="J6" s="11" t="n">
        <v>45615</v>
      </c>
      <c r="K6" s="11" t="n">
        <v>45694</v>
      </c>
      <c r="L6" s="12" t="n">
        <v>81</v>
      </c>
      <c r="N6" s="1" t="n">
        <v>32.2301024428684</v>
      </c>
      <c r="O6" s="1" t="n">
        <v>0.485946939847649</v>
      </c>
      <c r="Q6" s="1" t="n">
        <v>30.7552650689906</v>
      </c>
      <c r="R6" s="1" t="n">
        <v>0.472040668119099</v>
      </c>
      <c r="U6" s="1" t="n">
        <v>0.0457596241430558</v>
      </c>
      <c r="V6" s="1" t="n">
        <v>0.028616852146264</v>
      </c>
    </row>
    <row r="7" customFormat="false" ht="16.4" hidden="false" customHeight="false" outlineLevel="0" collapsed="false">
      <c r="A7" s="8"/>
      <c r="B7" s="9" t="s">
        <v>28</v>
      </c>
      <c r="C7" s="10" t="s">
        <v>19</v>
      </c>
      <c r="D7" s="10" t="n">
        <v>0</v>
      </c>
      <c r="E7" s="10" t="s">
        <v>20</v>
      </c>
      <c r="F7" s="10"/>
      <c r="G7" s="10" t="s">
        <v>29</v>
      </c>
      <c r="H7" s="10" t="n">
        <v>0</v>
      </c>
      <c r="I7" s="10" t="n">
        <v>6</v>
      </c>
      <c r="J7" s="11" t="n">
        <v>45615</v>
      </c>
      <c r="K7" s="11" t="n">
        <v>45694</v>
      </c>
      <c r="L7" s="12" t="n">
        <v>81</v>
      </c>
      <c r="N7" s="1" t="n">
        <v>64.2661179698217</v>
      </c>
      <c r="O7" s="1" t="n">
        <v>5.55555555555556</v>
      </c>
      <c r="Q7" s="1" t="n">
        <v>61.9644153957879</v>
      </c>
      <c r="R7" s="1" t="n">
        <v>5.3921568627451</v>
      </c>
      <c r="U7" s="1" t="n">
        <v>0.0358151798606317</v>
      </c>
      <c r="V7" s="1" t="n">
        <v>0.0294117647058826</v>
      </c>
    </row>
    <row r="8" customFormat="false" ht="16.4" hidden="false" customHeight="false" outlineLevel="0" collapsed="false">
      <c r="A8" s="8"/>
      <c r="B8" s="9" t="s">
        <v>30</v>
      </c>
      <c r="C8" s="10" t="s">
        <v>19</v>
      </c>
      <c r="D8" s="10" t="n">
        <v>0</v>
      </c>
      <c r="E8" s="10" t="s">
        <v>20</v>
      </c>
      <c r="F8" s="10"/>
      <c r="G8" s="10" t="s">
        <v>23</v>
      </c>
      <c r="H8" s="10" t="n">
        <v>0</v>
      </c>
      <c r="I8" s="10" t="n">
        <v>2</v>
      </c>
      <c r="J8" s="11" t="n">
        <v>45615</v>
      </c>
      <c r="K8" s="11" t="n">
        <v>45694</v>
      </c>
      <c r="L8" s="12" t="n">
        <v>81</v>
      </c>
      <c r="N8" s="1" t="n">
        <v>28.0032396462657</v>
      </c>
      <c r="O8" s="1" t="n">
        <v>1.21486734961912</v>
      </c>
      <c r="Q8" s="1" t="n">
        <v>26.2345679012346</v>
      </c>
      <c r="R8" s="1" t="n">
        <v>1.18010167029775</v>
      </c>
      <c r="U8" s="1" t="n">
        <v>0.063159540373642</v>
      </c>
      <c r="V8" s="1" t="n">
        <v>0.0286168521462639</v>
      </c>
    </row>
    <row r="9" customFormat="false" ht="16.4" hidden="false" customHeight="false" outlineLevel="0" collapsed="false">
      <c r="A9" s="8"/>
      <c r="B9" s="9" t="s">
        <v>31</v>
      </c>
      <c r="C9" s="10" t="s">
        <v>19</v>
      </c>
      <c r="D9" s="10" t="n">
        <v>0</v>
      </c>
      <c r="E9" s="10" t="s">
        <v>20</v>
      </c>
      <c r="F9" s="10"/>
      <c r="G9" s="10" t="s">
        <v>23</v>
      </c>
      <c r="H9" s="10" t="n">
        <v>0</v>
      </c>
      <c r="I9" s="10" t="n">
        <v>2</v>
      </c>
      <c r="J9" s="11" t="n">
        <v>45615</v>
      </c>
      <c r="K9" s="11" t="n">
        <v>45694</v>
      </c>
      <c r="L9" s="12" t="n">
        <v>81</v>
      </c>
      <c r="N9" s="1" t="n">
        <v>35.549280565041</v>
      </c>
      <c r="O9" s="1" t="n">
        <v>0.93905962700289</v>
      </c>
      <c r="Q9" s="1" t="n">
        <v>33.7509077705156</v>
      </c>
      <c r="R9" s="1" t="n">
        <v>0.925925925925926</v>
      </c>
      <c r="U9" s="1" t="n">
        <v>0.0505881628528343</v>
      </c>
      <c r="V9" s="1" t="n">
        <v>0.013986013986014</v>
      </c>
    </row>
    <row r="10" customFormat="false" ht="16.4" hidden="false" customHeight="false" outlineLevel="0" collapsed="false">
      <c r="A10" s="8"/>
      <c r="B10" s="9" t="s">
        <v>32</v>
      </c>
      <c r="C10" s="10" t="s">
        <v>19</v>
      </c>
      <c r="D10" s="10" t="n">
        <v>0</v>
      </c>
      <c r="E10" s="10" t="s">
        <v>20</v>
      </c>
      <c r="F10" s="10"/>
      <c r="G10" s="10" t="s">
        <v>25</v>
      </c>
      <c r="H10" s="10" t="n">
        <v>0</v>
      </c>
      <c r="I10" s="10" t="n">
        <v>6</v>
      </c>
      <c r="J10" s="11" t="n">
        <v>45615</v>
      </c>
      <c r="K10" s="11" t="n">
        <v>45694</v>
      </c>
      <c r="L10" s="12" t="n">
        <v>81</v>
      </c>
      <c r="O10" s="1" t="n">
        <v>0.229839768846861</v>
      </c>
      <c r="Q10" s="1"/>
      <c r="R10" s="1" t="n">
        <v>0.23602033405955</v>
      </c>
      <c r="U10" s="1"/>
      <c r="V10" s="1" t="n">
        <v>-0.0268907563025209</v>
      </c>
    </row>
    <row r="11" customFormat="false" ht="16.4" hidden="false" customHeight="false" outlineLevel="0" collapsed="false">
      <c r="A11" s="8"/>
      <c r="B11" s="9" t="s">
        <v>33</v>
      </c>
      <c r="C11" s="10" t="s">
        <v>19</v>
      </c>
      <c r="D11" s="10" t="n">
        <v>0</v>
      </c>
      <c r="E11" s="10" t="s">
        <v>20</v>
      </c>
      <c r="F11" s="10"/>
      <c r="G11" s="10" t="s">
        <v>21</v>
      </c>
      <c r="H11" s="10" t="n">
        <v>0</v>
      </c>
      <c r="I11" s="10" t="n">
        <v>4</v>
      </c>
      <c r="J11" s="11" t="n">
        <v>45615</v>
      </c>
      <c r="K11" s="11" t="n">
        <v>45694</v>
      </c>
      <c r="L11" s="12" t="n">
        <v>81</v>
      </c>
      <c r="N11" s="1" t="n">
        <v>47.4863555438812</v>
      </c>
      <c r="O11" s="1" t="n">
        <v>2.23929603362227</v>
      </c>
      <c r="Q11" s="1" t="n">
        <v>44.6623093681917</v>
      </c>
      <c r="R11" s="1" t="n">
        <v>2.17864923747277</v>
      </c>
      <c r="U11" s="1" t="n">
        <v>0.0594706867550574</v>
      </c>
      <c r="V11" s="1" t="n">
        <v>0.0270829739520444</v>
      </c>
    </row>
    <row r="12" customFormat="false" ht="16.4" hidden="false" customHeight="false" outlineLevel="0" collapsed="false">
      <c r="A12" s="8"/>
      <c r="B12" s="9" t="s">
        <v>34</v>
      </c>
      <c r="C12" s="10" t="s">
        <v>19</v>
      </c>
      <c r="D12" s="10" t="n">
        <v>0</v>
      </c>
      <c r="E12" s="10" t="s">
        <v>20</v>
      </c>
      <c r="F12" s="10"/>
      <c r="G12" s="10" t="s">
        <v>23</v>
      </c>
      <c r="H12" s="10" t="n">
        <v>0</v>
      </c>
      <c r="I12" s="10" t="n">
        <v>3</v>
      </c>
      <c r="J12" s="11" t="n">
        <v>45615</v>
      </c>
      <c r="K12" s="11" t="n">
        <v>45694</v>
      </c>
      <c r="L12" s="12" t="n">
        <v>81</v>
      </c>
      <c r="N12" s="1" t="n">
        <v>27.0335347167499</v>
      </c>
      <c r="O12" s="1" t="n">
        <v>1.77304964539007</v>
      </c>
      <c r="Q12" s="1" t="n">
        <v>26.5795206971678</v>
      </c>
      <c r="R12" s="1" t="n">
        <v>1.74291938997821</v>
      </c>
      <c r="U12" s="1" t="n">
        <v>0.0167944748749703</v>
      </c>
      <c r="V12" s="1" t="n">
        <v>0.0169934640522877</v>
      </c>
    </row>
    <row r="13" customFormat="false" ht="16.4" hidden="false" customHeight="false" outlineLevel="0" collapsed="false">
      <c r="A13" s="8"/>
      <c r="B13" s="9" t="s">
        <v>35</v>
      </c>
      <c r="C13" s="10" t="s">
        <v>19</v>
      </c>
      <c r="D13" s="10" t="n">
        <v>0</v>
      </c>
      <c r="E13" s="10" t="s">
        <v>20</v>
      </c>
      <c r="F13" s="10"/>
      <c r="G13" s="10" t="s">
        <v>23</v>
      </c>
      <c r="H13" s="10" t="n">
        <v>0</v>
      </c>
      <c r="I13" s="10" t="n">
        <v>8</v>
      </c>
      <c r="J13" s="11" t="n">
        <v>45615</v>
      </c>
      <c r="K13" s="11" t="n">
        <v>45694</v>
      </c>
      <c r="L13" s="12" t="n">
        <v>81</v>
      </c>
      <c r="N13" s="1" t="n">
        <v>46.1262878323556</v>
      </c>
      <c r="O13" s="1" t="n">
        <v>1.88468610454426</v>
      </c>
      <c r="Q13" s="1" t="n">
        <v>43.7182280319535</v>
      </c>
      <c r="R13" s="1" t="n">
        <v>1.85185185185185</v>
      </c>
      <c r="U13" s="1" t="n">
        <v>0.0522058009340378</v>
      </c>
      <c r="V13" s="1" t="n">
        <v>0.0174216027874566</v>
      </c>
    </row>
    <row r="14" customFormat="false" ht="16.4" hidden="false" customHeight="false" outlineLevel="0" collapsed="false">
      <c r="A14" s="8"/>
      <c r="B14" s="9" t="s">
        <v>36</v>
      </c>
      <c r="C14" s="10" t="s">
        <v>19</v>
      </c>
      <c r="D14" s="10" t="n">
        <v>0</v>
      </c>
      <c r="E14" s="10" t="s">
        <v>20</v>
      </c>
      <c r="F14" s="10"/>
      <c r="G14" s="10" t="s">
        <v>21</v>
      </c>
      <c r="H14" s="10" t="n">
        <v>0</v>
      </c>
      <c r="I14" s="10" t="n">
        <v>9</v>
      </c>
      <c r="J14" s="11" t="n">
        <v>45615</v>
      </c>
      <c r="K14" s="11" t="n">
        <v>45694</v>
      </c>
      <c r="L14" s="12" t="n">
        <v>81</v>
      </c>
      <c r="O14" s="1" t="n">
        <v>0.387444181770423</v>
      </c>
      <c r="Q14" s="1" t="n">
        <v>26.8518518518518</v>
      </c>
      <c r="R14" s="1" t="n">
        <v>0.381263616557734</v>
      </c>
      <c r="U14" s="1"/>
      <c r="V14" s="1" t="n">
        <v>0.0159521435692923</v>
      </c>
    </row>
    <row r="15" customFormat="false" ht="16.4" hidden="false" customHeight="false" outlineLevel="0" collapsed="false">
      <c r="A15" s="8"/>
      <c r="B15" s="9" t="s">
        <v>37</v>
      </c>
      <c r="C15" s="10" t="s">
        <v>19</v>
      </c>
      <c r="D15" s="10" t="n">
        <v>0</v>
      </c>
      <c r="E15" s="10" t="s">
        <v>20</v>
      </c>
      <c r="F15" s="10"/>
      <c r="G15" s="10" t="s">
        <v>23</v>
      </c>
      <c r="H15" s="10" t="n">
        <v>0</v>
      </c>
      <c r="I15" s="10" t="n">
        <v>7</v>
      </c>
      <c r="J15" s="11" t="n">
        <v>45615</v>
      </c>
      <c r="K15" s="11" t="n">
        <v>45694</v>
      </c>
      <c r="L15" s="12" t="n">
        <v>81</v>
      </c>
      <c r="N15" s="1" t="n">
        <v>102.043020167528</v>
      </c>
      <c r="O15" s="1" t="n">
        <v>3.9926451273969</v>
      </c>
      <c r="Q15" s="1"/>
      <c r="R15" s="1"/>
      <c r="U15" s="1"/>
      <c r="V15" s="1"/>
    </row>
    <row r="16" customFormat="false" ht="16.4" hidden="false" customHeight="false" outlineLevel="0" collapsed="false">
      <c r="A16" s="8"/>
      <c r="B16" s="9" t="s">
        <v>38</v>
      </c>
      <c r="C16" s="10" t="s">
        <v>19</v>
      </c>
      <c r="D16" s="10" t="n">
        <v>0</v>
      </c>
      <c r="E16" s="10" t="s">
        <v>20</v>
      </c>
      <c r="F16" s="10"/>
      <c r="G16" s="10" t="s">
        <v>39</v>
      </c>
      <c r="H16" s="10" t="n">
        <v>0</v>
      </c>
      <c r="I16" s="10" t="n">
        <v>6</v>
      </c>
      <c r="J16" s="11" t="n">
        <v>45615</v>
      </c>
      <c r="K16" s="11" t="n">
        <v>45694</v>
      </c>
      <c r="L16" s="12" t="n">
        <v>81</v>
      </c>
      <c r="N16" s="1" t="n">
        <v>35.1654846335697</v>
      </c>
      <c r="O16" s="1" t="n">
        <v>0.636984502232729</v>
      </c>
      <c r="Q16" s="1" t="n">
        <v>33.8779956427015</v>
      </c>
      <c r="R16" s="1" t="n">
        <v>0.617283950617284</v>
      </c>
      <c r="U16" s="1" t="n">
        <v>0.0366122919756137</v>
      </c>
      <c r="V16" s="1" t="n">
        <v>0.0309278350515464</v>
      </c>
    </row>
    <row r="17" customFormat="false" ht="16.4" hidden="false" customHeight="false" outlineLevel="0" collapsed="false">
      <c r="A17" s="8"/>
      <c r="B17" s="9" t="s">
        <v>40</v>
      </c>
      <c r="C17" s="10" t="s">
        <v>19</v>
      </c>
      <c r="D17" s="10" t="n">
        <v>0</v>
      </c>
      <c r="E17" s="10" t="s">
        <v>20</v>
      </c>
      <c r="F17" s="10"/>
      <c r="G17" s="10" t="s">
        <v>21</v>
      </c>
      <c r="H17" s="10" t="n">
        <v>0</v>
      </c>
      <c r="I17" s="10" t="n">
        <v>4</v>
      </c>
      <c r="J17" s="11" t="n">
        <v>45615</v>
      </c>
      <c r="K17" s="11" t="n">
        <v>45694</v>
      </c>
      <c r="L17" s="12" t="n">
        <v>81</v>
      </c>
      <c r="N17" s="1" t="n">
        <v>41.6039167615212</v>
      </c>
      <c r="O17" s="1" t="n">
        <v>2.29183083793013</v>
      </c>
      <c r="Q17" s="1" t="n">
        <v>39.161220043573</v>
      </c>
      <c r="R17" s="1" t="n">
        <v>2.23311546840959</v>
      </c>
      <c r="U17" s="1" t="n">
        <v>0.0587131430905902</v>
      </c>
      <c r="V17" s="1" t="n">
        <v>0.0256194168211697</v>
      </c>
    </row>
    <row r="18" customFormat="false" ht="16.4" hidden="false" customHeight="false" outlineLevel="0" collapsed="false">
      <c r="A18" s="8"/>
      <c r="B18" s="9" t="s">
        <v>41</v>
      </c>
      <c r="C18" s="10" t="s">
        <v>19</v>
      </c>
      <c r="D18" s="10" t="n">
        <v>0</v>
      </c>
      <c r="E18" s="10" t="s">
        <v>20</v>
      </c>
      <c r="F18" s="10"/>
      <c r="G18" s="10" t="s">
        <v>42</v>
      </c>
      <c r="H18" s="10" t="n">
        <v>0</v>
      </c>
      <c r="I18" s="10" t="n">
        <v>8</v>
      </c>
      <c r="J18" s="11" t="n">
        <v>45615</v>
      </c>
      <c r="K18" s="11" t="n">
        <v>45694</v>
      </c>
      <c r="L18" s="12" t="n">
        <v>81</v>
      </c>
      <c r="N18" s="1" t="n">
        <v>43.5418673204331</v>
      </c>
      <c r="O18" s="1" t="n">
        <v>1.45127396900447</v>
      </c>
      <c r="Q18" s="1" t="n">
        <v>42.683369644154</v>
      </c>
      <c r="R18" s="1" t="n">
        <v>1.43427741466957</v>
      </c>
      <c r="U18" s="1" t="n">
        <v>0.0197166021833954</v>
      </c>
      <c r="V18" s="1" t="n">
        <v>0.0117114719190846</v>
      </c>
    </row>
    <row r="19" customFormat="false" ht="16.4" hidden="false" customHeight="false" outlineLevel="0" collapsed="false">
      <c r="A19" s="8"/>
      <c r="B19" s="9" t="s">
        <v>43</v>
      </c>
      <c r="C19" s="10" t="s">
        <v>19</v>
      </c>
      <c r="D19" s="10" t="n">
        <v>0</v>
      </c>
      <c r="E19" s="10" t="s">
        <v>20</v>
      </c>
      <c r="F19" s="10"/>
      <c r="G19" s="10" t="s">
        <v>23</v>
      </c>
      <c r="H19" s="10" t="n">
        <v>0</v>
      </c>
      <c r="I19" s="10" t="n">
        <v>2</v>
      </c>
      <c r="J19" s="11" t="n">
        <v>45615</v>
      </c>
      <c r="K19" s="11" t="n">
        <v>45694</v>
      </c>
      <c r="L19" s="12" t="n">
        <v>81</v>
      </c>
      <c r="N19" s="1" t="n">
        <v>23.3495315646616</v>
      </c>
      <c r="O19" s="1" t="n">
        <v>1.13606514315734</v>
      </c>
      <c r="Q19" s="1" t="n">
        <v>22.6761074800291</v>
      </c>
      <c r="R19" s="1" t="n">
        <v>1.10748002904866</v>
      </c>
      <c r="U19" s="1" t="n">
        <v>0.0288410104831283</v>
      </c>
      <c r="V19" s="1" t="n">
        <v>0.0251615096905816</v>
      </c>
    </row>
    <row r="20" customFormat="false" ht="16.4" hidden="false" customHeight="false" outlineLevel="0" collapsed="false">
      <c r="A20" s="8"/>
      <c r="B20" s="9" t="s">
        <v>44</v>
      </c>
      <c r="C20" s="10" t="s">
        <v>19</v>
      </c>
      <c r="D20" s="10" t="n">
        <v>0</v>
      </c>
      <c r="E20" s="10" t="s">
        <v>20</v>
      </c>
      <c r="F20" s="10"/>
      <c r="G20" s="10" t="s">
        <v>29</v>
      </c>
      <c r="H20" s="10" t="n">
        <v>0</v>
      </c>
      <c r="I20" s="10" t="n">
        <v>10</v>
      </c>
      <c r="J20" s="11" t="n">
        <v>45615</v>
      </c>
      <c r="K20" s="11" t="n">
        <v>45694</v>
      </c>
      <c r="L20" s="12" t="n">
        <v>81</v>
      </c>
      <c r="N20" s="1" t="n">
        <v>64.8279485158918</v>
      </c>
      <c r="O20" s="1" t="n">
        <v>3.07328605200946</v>
      </c>
      <c r="Q20" s="1" t="n">
        <v>63.6165577342048</v>
      </c>
      <c r="R20" s="1" t="n">
        <v>3.01379811183733</v>
      </c>
      <c r="U20" s="1" t="n">
        <v>0.0186862427304797</v>
      </c>
      <c r="V20" s="1" t="n">
        <v>0.019356460532931</v>
      </c>
    </row>
    <row r="21" customFormat="false" ht="16.4" hidden="false" customHeight="false" outlineLevel="0" collapsed="false">
      <c r="A21" s="8"/>
      <c r="B21" s="9" t="s">
        <v>45</v>
      </c>
      <c r="C21" s="10" t="s">
        <v>19</v>
      </c>
      <c r="D21" s="10" t="n">
        <v>0</v>
      </c>
      <c r="E21" s="10" t="s">
        <v>20</v>
      </c>
      <c r="F21" s="10"/>
      <c r="G21" s="10" t="s">
        <v>46</v>
      </c>
      <c r="H21" s="10" t="n">
        <v>0</v>
      </c>
      <c r="I21" s="10" t="n">
        <v>9</v>
      </c>
      <c r="J21" s="11" t="n">
        <v>45615</v>
      </c>
      <c r="K21" s="11" t="n">
        <v>45694</v>
      </c>
      <c r="L21" s="12" t="n">
        <v>81</v>
      </c>
      <c r="N21" s="1" t="n">
        <v>56.1728395061728</v>
      </c>
      <c r="O21" s="1"/>
      <c r="Q21" s="1"/>
      <c r="R21" s="1"/>
      <c r="U21" s="1"/>
      <c r="V21" s="1"/>
    </row>
    <row r="22" customFormat="false" ht="16.4" hidden="false" customHeight="false" outlineLevel="0" collapsed="false">
      <c r="A22" s="8"/>
      <c r="B22" s="9" t="s">
        <v>47</v>
      </c>
      <c r="C22" s="10" t="s">
        <v>19</v>
      </c>
      <c r="D22" s="10" t="n">
        <v>0</v>
      </c>
      <c r="E22" s="10" t="s">
        <v>20</v>
      </c>
      <c r="F22" s="10"/>
      <c r="G22" s="10" t="s">
        <v>48</v>
      </c>
      <c r="H22" s="10" t="n">
        <v>0</v>
      </c>
      <c r="I22" s="10" t="n">
        <v>10</v>
      </c>
      <c r="J22" s="11" t="n">
        <v>45615</v>
      </c>
      <c r="K22" s="11" t="n">
        <v>45694</v>
      </c>
      <c r="L22" s="12" t="n">
        <v>81</v>
      </c>
      <c r="N22" s="1" t="n">
        <v>46.3196450982109</v>
      </c>
      <c r="O22" s="1" t="n">
        <v>2.37719989493039</v>
      </c>
      <c r="Q22" s="1" t="n">
        <v>44.8620188816267</v>
      </c>
      <c r="R22" s="1" t="n">
        <v>2.34204793028322</v>
      </c>
      <c r="U22" s="1" t="n">
        <v>0.0314688554606494</v>
      </c>
      <c r="V22" s="1" t="n">
        <v>0.0147871303217421</v>
      </c>
    </row>
    <row r="23" customFormat="false" ht="16.4" hidden="false" customHeight="false" outlineLevel="0" collapsed="false">
      <c r="A23" s="8"/>
      <c r="B23" s="9" t="s">
        <v>49</v>
      </c>
      <c r="C23" s="10" t="s">
        <v>19</v>
      </c>
      <c r="D23" s="10" t="n">
        <v>0</v>
      </c>
      <c r="E23" s="10" t="s">
        <v>20</v>
      </c>
      <c r="F23" s="10"/>
      <c r="G23" s="10" t="s">
        <v>50</v>
      </c>
      <c r="H23" s="10" t="n">
        <v>0</v>
      </c>
      <c r="I23" s="10" t="n">
        <v>4</v>
      </c>
      <c r="J23" s="11" t="n">
        <v>45615</v>
      </c>
      <c r="K23" s="11" t="n">
        <v>45694</v>
      </c>
      <c r="L23" s="12" t="n">
        <v>81</v>
      </c>
      <c r="N23" s="1" t="n">
        <v>85.5843037679129</v>
      </c>
      <c r="O23" s="1" t="n">
        <v>4.19621749408984</v>
      </c>
      <c r="Q23" s="1" t="n">
        <v>80.5010893246187</v>
      </c>
      <c r="R23" s="1" t="n">
        <v>4.10312273057371</v>
      </c>
      <c r="U23" s="1" t="n">
        <v>0.0593942372549858</v>
      </c>
      <c r="V23" s="1" t="n">
        <v>0.022185399981589</v>
      </c>
    </row>
    <row r="24" customFormat="false" ht="16.4" hidden="false" customHeight="false" outlineLevel="0" collapsed="false">
      <c r="A24" s="8"/>
      <c r="B24" s="9" t="s">
        <v>51</v>
      </c>
      <c r="C24" s="10" t="s">
        <v>19</v>
      </c>
      <c r="D24" s="10" t="n">
        <v>0</v>
      </c>
      <c r="E24" s="10" t="s">
        <v>20</v>
      </c>
      <c r="F24" s="10"/>
      <c r="G24" s="10" t="s">
        <v>23</v>
      </c>
      <c r="H24" s="10" t="n">
        <v>0</v>
      </c>
      <c r="I24" s="10" t="n">
        <v>10</v>
      </c>
      <c r="J24" s="11" t="n">
        <v>45615</v>
      </c>
      <c r="K24" s="11" t="n">
        <v>45694</v>
      </c>
      <c r="L24" s="12" t="n">
        <v>81</v>
      </c>
      <c r="O24" s="1"/>
      <c r="Q24" s="1"/>
      <c r="R24" s="1"/>
      <c r="U24" s="1"/>
      <c r="V24" s="1"/>
    </row>
    <row r="25" customFormat="false" ht="16.4" hidden="false" customHeight="false" outlineLevel="0" collapsed="false">
      <c r="A25" s="13" t="s">
        <v>52</v>
      </c>
      <c r="B25" s="9" t="s">
        <v>53</v>
      </c>
      <c r="C25" s="10" t="s">
        <v>19</v>
      </c>
      <c r="D25" s="10" t="n">
        <v>0</v>
      </c>
      <c r="E25" s="10" t="s">
        <v>20</v>
      </c>
      <c r="F25" s="10"/>
      <c r="G25" s="10" t="s">
        <v>21</v>
      </c>
      <c r="H25" s="10" t="n">
        <v>0</v>
      </c>
      <c r="I25" s="10" t="n">
        <v>7</v>
      </c>
      <c r="J25" s="11" t="n">
        <v>45641</v>
      </c>
      <c r="K25" s="11" t="n">
        <v>45731</v>
      </c>
      <c r="L25" s="12" t="n">
        <v>90</v>
      </c>
      <c r="N25" s="1" t="n">
        <v>44.4753086419753</v>
      </c>
      <c r="O25" s="1" t="n">
        <v>4.16666666666667</v>
      </c>
      <c r="Q25" s="1" t="n">
        <v>42.7777777777778</v>
      </c>
      <c r="R25" s="1" t="n">
        <v>4.11764705882353</v>
      </c>
      <c r="U25" s="1" t="n">
        <v>0.0381679389312979</v>
      </c>
      <c r="V25" s="1" t="n">
        <v>0.0117647058823531</v>
      </c>
    </row>
    <row r="26" customFormat="false" ht="16.4" hidden="false" customHeight="false" outlineLevel="0" collapsed="false">
      <c r="A26" s="13"/>
      <c r="B26" s="9" t="s">
        <v>54</v>
      </c>
      <c r="C26" s="10" t="s">
        <v>19</v>
      </c>
      <c r="D26" s="10" t="n">
        <v>0</v>
      </c>
      <c r="E26" s="10" t="s">
        <v>20</v>
      </c>
      <c r="F26" s="10"/>
      <c r="G26" s="10" t="s">
        <v>23</v>
      </c>
      <c r="H26" s="10" t="n">
        <v>0</v>
      </c>
      <c r="I26" s="10" t="n">
        <v>8</v>
      </c>
      <c r="J26" s="11" t="n">
        <v>45641</v>
      </c>
      <c r="K26" s="11" t="n">
        <v>45731</v>
      </c>
      <c r="L26" s="12" t="n">
        <v>90</v>
      </c>
      <c r="N26" s="1" t="n">
        <v>23.5460992907801</v>
      </c>
      <c r="O26" s="1" t="n">
        <v>3.12056737588653</v>
      </c>
      <c r="Q26" s="1" t="n">
        <v>22.4019607843137</v>
      </c>
      <c r="R26" s="1" t="n">
        <v>3.08823529411765</v>
      </c>
      <c r="U26" s="1" t="n">
        <v>0.048591424521616</v>
      </c>
      <c r="V26" s="1" t="n">
        <v>0.0103609625668449</v>
      </c>
    </row>
    <row r="27" customFormat="false" ht="16.4" hidden="false" customHeight="false" outlineLevel="0" collapsed="false">
      <c r="A27" s="13"/>
      <c r="B27" s="9" t="s">
        <v>55</v>
      </c>
      <c r="C27" s="10" t="s">
        <v>19</v>
      </c>
      <c r="D27" s="10" t="n">
        <v>0</v>
      </c>
      <c r="E27" s="10" t="s">
        <v>20</v>
      </c>
      <c r="F27" s="10"/>
      <c r="G27" s="10" t="s">
        <v>25</v>
      </c>
      <c r="H27" s="10" t="n">
        <v>0</v>
      </c>
      <c r="I27" s="10" t="n">
        <v>7</v>
      </c>
      <c r="J27" s="11" t="n">
        <v>45641</v>
      </c>
      <c r="K27" s="11" t="n">
        <v>45731</v>
      </c>
      <c r="L27" s="12" t="n">
        <v>90</v>
      </c>
      <c r="N27" s="1" t="n">
        <v>29.0386130811663</v>
      </c>
      <c r="O27" s="1" t="n">
        <v>2.25768321513002</v>
      </c>
      <c r="Q27" s="1" t="n">
        <v>28.0228758169935</v>
      </c>
      <c r="R27" s="1" t="n">
        <v>2.20588235294118</v>
      </c>
      <c r="U27" s="1" t="n">
        <v>0.0349788490701576</v>
      </c>
      <c r="V27" s="1" t="n">
        <v>0.0229442562365262</v>
      </c>
    </row>
    <row r="28" customFormat="false" ht="16.4" hidden="false" customHeight="false" outlineLevel="0" collapsed="false">
      <c r="A28" s="13"/>
      <c r="B28" s="9" t="s">
        <v>56</v>
      </c>
      <c r="C28" s="10" t="s">
        <v>19</v>
      </c>
      <c r="D28" s="10" t="n">
        <v>0</v>
      </c>
      <c r="E28" s="10" t="s">
        <v>20</v>
      </c>
      <c r="F28" s="10"/>
      <c r="G28" s="10" t="s">
        <v>21</v>
      </c>
      <c r="H28" s="10" t="n">
        <v>0</v>
      </c>
      <c r="I28" s="10" t="n">
        <v>4</v>
      </c>
      <c r="J28" s="11" t="n">
        <v>45641</v>
      </c>
      <c r="K28" s="11" t="n">
        <v>45731</v>
      </c>
      <c r="L28" s="12" t="n">
        <v>90</v>
      </c>
      <c r="O28" s="1"/>
      <c r="Q28" s="1"/>
      <c r="R28" s="1"/>
      <c r="U28" s="1"/>
      <c r="V28" s="1"/>
    </row>
    <row r="29" customFormat="false" ht="16.4" hidden="false" customHeight="false" outlineLevel="0" collapsed="false">
      <c r="A29" s="13"/>
      <c r="B29" s="9" t="s">
        <v>57</v>
      </c>
      <c r="C29" s="10" t="s">
        <v>19</v>
      </c>
      <c r="D29" s="10" t="n">
        <v>0</v>
      </c>
      <c r="E29" s="10" t="s">
        <v>20</v>
      </c>
      <c r="F29" s="10"/>
      <c r="G29" s="10" t="s">
        <v>21</v>
      </c>
      <c r="H29" s="10" t="n">
        <v>0</v>
      </c>
      <c r="I29" s="10" t="n">
        <v>12</v>
      </c>
      <c r="J29" s="11" t="n">
        <v>45641</v>
      </c>
      <c r="K29" s="11" t="n">
        <v>45731</v>
      </c>
      <c r="L29" s="12" t="n">
        <v>90</v>
      </c>
      <c r="N29" s="1" t="n">
        <v>31.2962962962963</v>
      </c>
      <c r="O29" s="1" t="n">
        <v>3.88888888888889</v>
      </c>
      <c r="Q29" s="1" t="n">
        <v>30.4575163398693</v>
      </c>
      <c r="R29" s="1" t="n">
        <v>3.8562091503268</v>
      </c>
      <c r="U29" s="1" t="n">
        <v>0.0268012530455969</v>
      </c>
      <c r="V29" s="1" t="n">
        <v>0.0084033613445379</v>
      </c>
    </row>
    <row r="30" customFormat="false" ht="16.4" hidden="false" customHeight="false" outlineLevel="0" collapsed="false">
      <c r="A30" s="13"/>
      <c r="B30" s="9" t="s">
        <v>58</v>
      </c>
      <c r="C30" s="10" t="s">
        <v>19</v>
      </c>
      <c r="D30" s="10" t="n">
        <v>0</v>
      </c>
      <c r="E30" s="10" t="s">
        <v>20</v>
      </c>
      <c r="F30" s="10"/>
      <c r="G30" s="10" t="s">
        <v>29</v>
      </c>
      <c r="H30" s="10" t="n">
        <v>0</v>
      </c>
      <c r="I30" s="10" t="n">
        <v>6</v>
      </c>
      <c r="J30" s="11" t="n">
        <v>45641</v>
      </c>
      <c r="K30" s="11" t="n">
        <v>45731</v>
      </c>
      <c r="L30" s="12" t="n">
        <v>90</v>
      </c>
      <c r="N30" s="1" t="n">
        <v>18.4889676910953</v>
      </c>
      <c r="O30" s="1" t="n">
        <v>5.58510638297872</v>
      </c>
      <c r="Q30" s="1" t="n">
        <v>17.516339869281</v>
      </c>
      <c r="R30" s="1" t="n">
        <v>5.52287581699346</v>
      </c>
      <c r="U30" s="1" t="n">
        <v>0.0526058478799082</v>
      </c>
      <c r="V30" s="1" t="n">
        <v>0.0111422346716466</v>
      </c>
    </row>
    <row r="31" customFormat="false" ht="16.4" hidden="false" customHeight="false" outlineLevel="0" collapsed="false">
      <c r="A31" s="13"/>
      <c r="B31" s="9" t="s">
        <v>59</v>
      </c>
      <c r="C31" s="10" t="s">
        <v>19</v>
      </c>
      <c r="D31" s="10" t="n">
        <v>0</v>
      </c>
      <c r="E31" s="10" t="s">
        <v>20</v>
      </c>
      <c r="F31" s="10"/>
      <c r="G31" s="10" t="s">
        <v>23</v>
      </c>
      <c r="H31" s="10" t="n">
        <v>0</v>
      </c>
      <c r="I31" s="10" t="n">
        <v>2</v>
      </c>
      <c r="J31" s="11" t="n">
        <v>45641</v>
      </c>
      <c r="K31" s="11" t="n">
        <v>45731</v>
      </c>
      <c r="L31" s="12" t="n">
        <v>90</v>
      </c>
      <c r="N31" s="1" t="n">
        <v>37.5525348043079</v>
      </c>
      <c r="O31" s="1" t="n">
        <v>7.5709219858156</v>
      </c>
      <c r="Q31" s="1" t="n">
        <v>35.1470588235294</v>
      </c>
      <c r="R31" s="1" t="n">
        <v>7.33660130718954</v>
      </c>
      <c r="U31" s="1" t="n">
        <v>0.0640562878994388</v>
      </c>
      <c r="V31" s="1" t="n">
        <v>0.0309500849520136</v>
      </c>
    </row>
    <row r="32" customFormat="false" ht="16.4" hidden="false" customHeight="false" outlineLevel="0" collapsed="false">
      <c r="A32" s="13"/>
      <c r="B32" s="9" t="s">
        <v>60</v>
      </c>
      <c r="C32" s="10" t="s">
        <v>19</v>
      </c>
      <c r="D32" s="10" t="n">
        <v>0</v>
      </c>
      <c r="E32" s="10" t="s">
        <v>20</v>
      </c>
      <c r="F32" s="10"/>
      <c r="G32" s="10" t="s">
        <v>23</v>
      </c>
      <c r="H32" s="10" t="n">
        <v>0</v>
      </c>
      <c r="I32" s="10" t="n">
        <v>2</v>
      </c>
      <c r="J32" s="11" t="n">
        <v>45641</v>
      </c>
      <c r="K32" s="11" t="n">
        <v>45731</v>
      </c>
      <c r="L32" s="12" t="n">
        <v>90</v>
      </c>
      <c r="N32" s="1" t="n">
        <v>25.6967428421329</v>
      </c>
      <c r="O32" s="1" t="n">
        <v>2.20449172576832</v>
      </c>
      <c r="Q32" s="1" t="n">
        <v>24.4607843137255</v>
      </c>
      <c r="R32" s="1" t="n">
        <v>2.17320261437909</v>
      </c>
      <c r="U32" s="1" t="n">
        <v>0.0480978673445307</v>
      </c>
      <c r="V32" s="1" t="n">
        <v>0.0141933448982813</v>
      </c>
    </row>
    <row r="33" customFormat="false" ht="16.4" hidden="false" customHeight="false" outlineLevel="0" collapsed="false">
      <c r="A33" s="13"/>
      <c r="B33" s="9" t="s">
        <v>61</v>
      </c>
      <c r="C33" s="10" t="s">
        <v>19</v>
      </c>
      <c r="D33" s="10" t="n">
        <v>0</v>
      </c>
      <c r="E33" s="10" t="s">
        <v>20</v>
      </c>
      <c r="F33" s="10"/>
      <c r="G33" s="10" t="s">
        <v>25</v>
      </c>
      <c r="H33" s="10" t="n">
        <v>0</v>
      </c>
      <c r="I33" s="10" t="n">
        <v>6</v>
      </c>
      <c r="J33" s="11" t="n">
        <v>45641</v>
      </c>
      <c r="K33" s="11" t="n">
        <v>45731</v>
      </c>
      <c r="L33" s="12" t="n">
        <v>90</v>
      </c>
      <c r="N33" s="1" t="n">
        <v>40.8838980824797</v>
      </c>
      <c r="O33" s="1" t="n">
        <v>2.94326241134752</v>
      </c>
      <c r="Q33" s="1" t="n">
        <v>39.9183006535948</v>
      </c>
      <c r="R33" s="1" t="n">
        <v>2.8921568627451</v>
      </c>
      <c r="U33" s="1" t="n">
        <v>0.0236180372756255</v>
      </c>
      <c r="V33" s="1" t="n">
        <v>0.0173635719347982</v>
      </c>
    </row>
    <row r="34" customFormat="false" ht="16.4" hidden="false" customHeight="false" outlineLevel="0" collapsed="false">
      <c r="A34" s="13"/>
      <c r="B34" s="9" t="s">
        <v>62</v>
      </c>
      <c r="C34" s="10" t="s">
        <v>19</v>
      </c>
      <c r="D34" s="10" t="n">
        <v>0</v>
      </c>
      <c r="E34" s="10" t="s">
        <v>20</v>
      </c>
      <c r="F34" s="10"/>
      <c r="G34" s="10" t="s">
        <v>21</v>
      </c>
      <c r="H34" s="10" t="n">
        <v>0</v>
      </c>
      <c r="I34" s="10" t="n">
        <v>4</v>
      </c>
      <c r="J34" s="11" t="n">
        <v>45641</v>
      </c>
      <c r="K34" s="11" t="n">
        <v>45731</v>
      </c>
      <c r="L34" s="12" t="n">
        <v>90</v>
      </c>
      <c r="N34" s="1" t="n">
        <v>33.6058576306803</v>
      </c>
      <c r="O34" s="1" t="n">
        <v>1.82624113475177</v>
      </c>
      <c r="Q34" s="1" t="n">
        <v>32.2222222222222</v>
      </c>
      <c r="R34" s="1" t="n">
        <v>1.76470588235294</v>
      </c>
      <c r="U34" s="1" t="n">
        <v>0.0411724474841234</v>
      </c>
      <c r="V34" s="1" t="n">
        <v>0.0336950314106227</v>
      </c>
    </row>
    <row r="35" customFormat="false" ht="16.4" hidden="false" customHeight="false" outlineLevel="0" collapsed="false">
      <c r="A35" s="13"/>
      <c r="B35" s="9" t="s">
        <v>63</v>
      </c>
      <c r="C35" s="10" t="s">
        <v>19</v>
      </c>
      <c r="D35" s="10" t="n">
        <v>0</v>
      </c>
      <c r="E35" s="10" t="s">
        <v>20</v>
      </c>
      <c r="F35" s="10"/>
      <c r="G35" s="10" t="s">
        <v>23</v>
      </c>
      <c r="H35" s="10" t="n">
        <v>0</v>
      </c>
      <c r="I35" s="10" t="n">
        <v>3</v>
      </c>
      <c r="J35" s="11" t="n">
        <v>45641</v>
      </c>
      <c r="K35" s="11" t="n">
        <v>45731</v>
      </c>
      <c r="L35" s="12" t="n">
        <v>90</v>
      </c>
      <c r="N35" s="1" t="n">
        <v>39.5206199106908</v>
      </c>
      <c r="O35" s="1" t="n">
        <v>3.3806146572104</v>
      </c>
      <c r="Q35" s="1" t="n">
        <v>37.7124183006536</v>
      </c>
      <c r="R35" s="1" t="n">
        <v>3.30065359477124</v>
      </c>
      <c r="U35" s="1" t="n">
        <v>0.0457533716354511</v>
      </c>
      <c r="V35" s="1" t="n">
        <v>0.0236528177704648</v>
      </c>
    </row>
    <row r="36" customFormat="false" ht="16.4" hidden="false" customHeight="false" outlineLevel="0" collapsed="false">
      <c r="A36" s="13"/>
      <c r="B36" s="9" t="s">
        <v>64</v>
      </c>
      <c r="C36" s="10" t="s">
        <v>19</v>
      </c>
      <c r="D36" s="10" t="n">
        <v>0</v>
      </c>
      <c r="E36" s="10" t="s">
        <v>20</v>
      </c>
      <c r="F36" s="10"/>
      <c r="G36" s="10" t="s">
        <v>23</v>
      </c>
      <c r="H36" s="10" t="n">
        <v>0</v>
      </c>
      <c r="I36" s="10" t="n">
        <v>8</v>
      </c>
      <c r="J36" s="11" t="n">
        <v>45641</v>
      </c>
      <c r="K36" s="11" t="n">
        <v>45731</v>
      </c>
      <c r="L36" s="12" t="n">
        <v>90</v>
      </c>
      <c r="N36" s="1" t="n">
        <v>63.2926188599947</v>
      </c>
      <c r="O36" s="1" t="n">
        <v>4.36170212765958</v>
      </c>
      <c r="Q36" s="1" t="n">
        <v>60.5882352941176</v>
      </c>
      <c r="R36" s="1" t="n">
        <v>4.28104575163399</v>
      </c>
      <c r="U36" s="1" t="n">
        <v>0.0427282614400784</v>
      </c>
      <c r="V36" s="1" t="n">
        <v>0.0184919496253787</v>
      </c>
    </row>
    <row r="37" customFormat="false" ht="16.4" hidden="false" customHeight="false" outlineLevel="0" collapsed="false">
      <c r="A37" s="13"/>
      <c r="B37" s="9" t="s">
        <v>65</v>
      </c>
      <c r="C37" s="10" t="s">
        <v>19</v>
      </c>
      <c r="D37" s="10" t="n">
        <v>0</v>
      </c>
      <c r="E37" s="10" t="s">
        <v>20</v>
      </c>
      <c r="F37" s="10"/>
      <c r="G37" s="10" t="s">
        <v>21</v>
      </c>
      <c r="H37" s="10" t="n">
        <v>0</v>
      </c>
      <c r="I37" s="10" t="n">
        <v>9</v>
      </c>
      <c r="J37" s="11" t="n">
        <v>45641</v>
      </c>
      <c r="K37" s="11" t="n">
        <v>45731</v>
      </c>
      <c r="L37" s="12" t="n">
        <v>90</v>
      </c>
      <c r="N37" s="1" t="n">
        <v>14.0116889939585</v>
      </c>
      <c r="O37" s="1" t="n">
        <v>3.45744680851064</v>
      </c>
      <c r="Q37" s="1" t="n">
        <v>13.3986928104575</v>
      </c>
      <c r="R37" s="1" t="n">
        <v>3.43137254901961</v>
      </c>
      <c r="U37" s="1" t="n">
        <v>0.0437489144788536</v>
      </c>
      <c r="V37" s="1" t="n">
        <v>0.00754147812971353</v>
      </c>
    </row>
    <row r="38" customFormat="false" ht="16.4" hidden="false" customHeight="false" outlineLevel="0" collapsed="false">
      <c r="A38" s="13"/>
      <c r="B38" s="9" t="s">
        <v>66</v>
      </c>
      <c r="C38" s="10" t="s">
        <v>19</v>
      </c>
      <c r="D38" s="10" t="n">
        <v>0</v>
      </c>
      <c r="E38" s="10" t="s">
        <v>20</v>
      </c>
      <c r="F38" s="10"/>
      <c r="G38" s="10" t="s">
        <v>23</v>
      </c>
      <c r="H38" s="10" t="n">
        <v>0</v>
      </c>
      <c r="I38" s="10" t="n">
        <v>7</v>
      </c>
      <c r="J38" s="11" t="n">
        <v>45641</v>
      </c>
      <c r="K38" s="11" t="n">
        <v>45731</v>
      </c>
      <c r="L38" s="12" t="n">
        <v>90</v>
      </c>
      <c r="N38" s="1" t="n">
        <v>26.4184397163121</v>
      </c>
      <c r="O38" s="1" t="n">
        <v>8.58156028368794</v>
      </c>
      <c r="Q38" s="1"/>
      <c r="R38" s="1" t="n">
        <v>8.43137254901961</v>
      </c>
      <c r="U38" s="1"/>
      <c r="V38" s="1" t="n">
        <v>0.017501215362178</v>
      </c>
    </row>
    <row r="39" customFormat="false" ht="16.4" hidden="false" customHeight="false" outlineLevel="0" collapsed="false">
      <c r="A39" s="13"/>
      <c r="B39" s="9" t="s">
        <v>67</v>
      </c>
      <c r="C39" s="10" t="s">
        <v>19</v>
      </c>
      <c r="D39" s="10" t="n">
        <v>0</v>
      </c>
      <c r="E39" s="10" t="s">
        <v>20</v>
      </c>
      <c r="F39" s="10"/>
      <c r="G39" s="10" t="s">
        <v>39</v>
      </c>
      <c r="H39" s="10" t="n">
        <v>0</v>
      </c>
      <c r="I39" s="10" t="n">
        <v>6</v>
      </c>
      <c r="J39" s="11" t="n">
        <v>45641</v>
      </c>
      <c r="K39" s="11" t="n">
        <v>45731</v>
      </c>
      <c r="L39" s="12" t="n">
        <v>90</v>
      </c>
      <c r="N39" s="1" t="n">
        <v>64.1469661150512</v>
      </c>
      <c r="O39" s="1" t="n">
        <v>8.44562647754137</v>
      </c>
      <c r="Q39" s="1" t="n">
        <v>61.0294117647059</v>
      </c>
      <c r="R39" s="1" t="n">
        <v>8.08823529411765</v>
      </c>
      <c r="U39" s="1" t="n">
        <v>0.0486001839082123</v>
      </c>
      <c r="V39" s="1" t="n">
        <v>0.0423167167496812</v>
      </c>
    </row>
    <row r="40" customFormat="false" ht="16.4" hidden="false" customHeight="false" outlineLevel="0" collapsed="false">
      <c r="A40" s="13"/>
      <c r="B40" s="9" t="s">
        <v>68</v>
      </c>
      <c r="C40" s="10" t="s">
        <v>19</v>
      </c>
      <c r="D40" s="10" t="n">
        <v>0</v>
      </c>
      <c r="E40" s="10" t="s">
        <v>20</v>
      </c>
      <c r="F40" s="10"/>
      <c r="G40" s="10" t="s">
        <v>21</v>
      </c>
      <c r="H40" s="10" t="n">
        <v>0</v>
      </c>
      <c r="I40" s="10" t="n">
        <v>4</v>
      </c>
      <c r="J40" s="11" t="n">
        <v>45641</v>
      </c>
      <c r="K40" s="11" t="n">
        <v>45731</v>
      </c>
      <c r="L40" s="12" t="n">
        <v>90</v>
      </c>
      <c r="N40" s="1" t="n">
        <v>27.5807722616233</v>
      </c>
      <c r="O40" s="1" t="n">
        <v>7.23404255319149</v>
      </c>
      <c r="Q40" s="1" t="n">
        <v>26.6503267973856</v>
      </c>
      <c r="R40" s="1" t="n">
        <v>7.17320261437909</v>
      </c>
      <c r="U40" s="1" t="n">
        <v>0.0337352941176473</v>
      </c>
      <c r="V40" s="1" t="n">
        <v>0.00841022683583237</v>
      </c>
    </row>
    <row r="41" customFormat="false" ht="16.4" hidden="false" customHeight="false" outlineLevel="0" collapsed="false">
      <c r="A41" s="13"/>
      <c r="B41" s="9" t="s">
        <v>69</v>
      </c>
      <c r="C41" s="10" t="s">
        <v>19</v>
      </c>
      <c r="D41" s="10" t="n">
        <v>0</v>
      </c>
      <c r="E41" s="10" t="s">
        <v>20</v>
      </c>
      <c r="F41" s="10"/>
      <c r="G41" s="10" t="s">
        <v>42</v>
      </c>
      <c r="H41" s="10" t="n">
        <v>0</v>
      </c>
      <c r="I41" s="10" t="n">
        <v>8</v>
      </c>
      <c r="J41" s="11" t="n">
        <v>45641</v>
      </c>
      <c r="K41" s="11" t="n">
        <v>45731</v>
      </c>
      <c r="L41" s="12" t="n">
        <v>90</v>
      </c>
      <c r="N41" s="1" t="n">
        <v>70.9009718938797</v>
      </c>
      <c r="O41" s="1" t="n">
        <v>3.04964539007092</v>
      </c>
      <c r="Q41" s="1" t="n">
        <v>67.6633986928105</v>
      </c>
      <c r="R41" s="1" t="n">
        <v>2.92483660130719</v>
      </c>
      <c r="U41" s="1" t="n">
        <v>0.0456633120053003</v>
      </c>
      <c r="V41" s="1" t="n">
        <v>0.0409256725946194</v>
      </c>
    </row>
    <row r="42" customFormat="false" ht="16.4" hidden="false" customHeight="false" outlineLevel="0" collapsed="false">
      <c r="A42" s="13"/>
      <c r="B42" s="9" t="s">
        <v>70</v>
      </c>
      <c r="C42" s="10" t="s">
        <v>19</v>
      </c>
      <c r="D42" s="10" t="n">
        <v>0</v>
      </c>
      <c r="E42" s="10" t="s">
        <v>20</v>
      </c>
      <c r="F42" s="10"/>
      <c r="G42" s="10" t="s">
        <v>23</v>
      </c>
      <c r="H42" s="10" t="n">
        <v>0</v>
      </c>
      <c r="I42" s="10" t="n">
        <v>2</v>
      </c>
      <c r="J42" s="11" t="n">
        <v>45641</v>
      </c>
      <c r="K42" s="11" t="n">
        <v>45731</v>
      </c>
      <c r="L42" s="12" t="n">
        <v>90</v>
      </c>
      <c r="N42" s="1" t="n">
        <v>28.9263199369582</v>
      </c>
      <c r="O42" s="1" t="n">
        <v>1.25886524822695</v>
      </c>
      <c r="Q42" s="1" t="n">
        <v>27.5326797385621</v>
      </c>
      <c r="R42" s="1" t="n">
        <v>1.22549019607843</v>
      </c>
      <c r="U42" s="1" t="n">
        <v>0.0481789664718304</v>
      </c>
      <c r="V42" s="1" t="n">
        <v>0.0265120132560068</v>
      </c>
    </row>
    <row r="43" customFormat="false" ht="16.4" hidden="false" customHeight="false" outlineLevel="0" collapsed="false">
      <c r="A43" s="13"/>
      <c r="B43" s="9" t="s">
        <v>71</v>
      </c>
      <c r="C43" s="10" t="s">
        <v>19</v>
      </c>
      <c r="D43" s="10" t="n">
        <v>0</v>
      </c>
      <c r="E43" s="10" t="s">
        <v>20</v>
      </c>
      <c r="F43" s="10"/>
      <c r="G43" s="10" t="s">
        <v>29</v>
      </c>
      <c r="H43" s="10" t="n">
        <v>0</v>
      </c>
      <c r="I43" s="10" t="n">
        <v>10</v>
      </c>
      <c r="J43" s="11" t="n">
        <v>45641</v>
      </c>
      <c r="K43" s="11" t="n">
        <v>45731</v>
      </c>
      <c r="L43" s="12" t="n">
        <v>90</v>
      </c>
      <c r="N43" s="1" t="n">
        <v>16.0277121092724</v>
      </c>
      <c r="O43" s="1" t="n">
        <v>5.20685579196218</v>
      </c>
      <c r="Q43" s="1" t="n">
        <v>15.4411764705882</v>
      </c>
      <c r="R43" s="1" t="n">
        <v>5.14705882352941</v>
      </c>
      <c r="U43" s="1" t="n">
        <v>0.0365950944642208</v>
      </c>
      <c r="V43" s="1" t="n">
        <v>0.0114842758896978</v>
      </c>
    </row>
    <row r="44" customFormat="false" ht="16.4" hidden="false" customHeight="false" outlineLevel="0" collapsed="false">
      <c r="A44" s="13"/>
      <c r="B44" s="9" t="s">
        <v>72</v>
      </c>
      <c r="C44" s="10" t="s">
        <v>19</v>
      </c>
      <c r="D44" s="10" t="n">
        <v>0</v>
      </c>
      <c r="E44" s="10" t="s">
        <v>20</v>
      </c>
      <c r="F44" s="10"/>
      <c r="G44" s="10" t="s">
        <v>46</v>
      </c>
      <c r="H44" s="10" t="n">
        <v>0</v>
      </c>
      <c r="I44" s="10" t="n">
        <v>9</v>
      </c>
      <c r="J44" s="11" t="n">
        <v>45641</v>
      </c>
      <c r="K44" s="11" t="n">
        <v>45731</v>
      </c>
      <c r="L44" s="12" t="n">
        <v>90</v>
      </c>
      <c r="N44" s="1" t="n">
        <v>36.1472287890728</v>
      </c>
      <c r="O44" s="1" t="n">
        <v>3.72931442080378</v>
      </c>
      <c r="Q44" s="1" t="n">
        <v>35.016339869281</v>
      </c>
      <c r="R44" s="1" t="n">
        <v>3.70915032679739</v>
      </c>
      <c r="U44" s="1" t="n">
        <v>0.0312856326107518</v>
      </c>
      <c r="V44" s="1" t="n">
        <v>0.00540691712501173</v>
      </c>
    </row>
    <row r="45" customFormat="false" ht="16.4" hidden="false" customHeight="false" outlineLevel="0" collapsed="false">
      <c r="A45" s="13"/>
      <c r="B45" s="9" t="s">
        <v>73</v>
      </c>
      <c r="C45" s="10" t="s">
        <v>19</v>
      </c>
      <c r="D45" s="10" t="n">
        <v>0</v>
      </c>
      <c r="E45" s="10" t="s">
        <v>20</v>
      </c>
      <c r="F45" s="10"/>
      <c r="G45" s="10" t="s">
        <v>48</v>
      </c>
      <c r="H45" s="10" t="n">
        <v>0</v>
      </c>
      <c r="I45" s="10" t="n">
        <v>10</v>
      </c>
      <c r="J45" s="11" t="n">
        <v>45641</v>
      </c>
      <c r="K45" s="11" t="n">
        <v>45731</v>
      </c>
      <c r="L45" s="12" t="n">
        <v>90</v>
      </c>
      <c r="N45" s="1" t="n">
        <v>48.2039663777252</v>
      </c>
      <c r="O45" s="1" t="n">
        <v>2.78368794326241</v>
      </c>
      <c r="Q45" s="1" t="n">
        <v>44.8366013071895</v>
      </c>
      <c r="R45" s="1" t="n">
        <v>2.7124183006536</v>
      </c>
      <c r="U45" s="1" t="n">
        <v>0.0698565973627377</v>
      </c>
      <c r="V45" s="1" t="n">
        <v>0.025602597726989</v>
      </c>
    </row>
    <row r="46" customFormat="false" ht="16.4" hidden="false" customHeight="false" outlineLevel="0" collapsed="false">
      <c r="A46" s="13"/>
      <c r="B46" s="9" t="s">
        <v>74</v>
      </c>
      <c r="C46" s="10" t="s">
        <v>19</v>
      </c>
      <c r="D46" s="10" t="n">
        <v>0</v>
      </c>
      <c r="E46" s="10" t="s">
        <v>20</v>
      </c>
      <c r="F46" s="10"/>
      <c r="G46" s="10" t="s">
        <v>50</v>
      </c>
      <c r="H46" s="10" t="n">
        <v>0</v>
      </c>
      <c r="I46" s="10" t="n">
        <v>4</v>
      </c>
      <c r="J46" s="11" t="n">
        <v>45641</v>
      </c>
      <c r="K46" s="11" t="n">
        <v>45731</v>
      </c>
      <c r="L46" s="12" t="n">
        <v>90</v>
      </c>
      <c r="N46" s="1" t="n">
        <v>28.295</v>
      </c>
      <c r="O46" s="1" t="n">
        <v>2.19858156028369</v>
      </c>
      <c r="Q46" s="1" t="n">
        <v>25.9803921568627</v>
      </c>
      <c r="R46" s="1" t="n">
        <v>2.12418300653595</v>
      </c>
      <c r="U46" s="1" t="n">
        <v>0.0818106856556214</v>
      </c>
      <c r="V46" s="1" t="n">
        <v>0.0338393421884884</v>
      </c>
    </row>
    <row r="47" customFormat="false" ht="16.4" hidden="false" customHeight="false" outlineLevel="0" collapsed="false">
      <c r="A47" s="13"/>
      <c r="B47" s="9" t="s">
        <v>75</v>
      </c>
      <c r="C47" s="10" t="s">
        <v>19</v>
      </c>
      <c r="D47" s="10" t="n">
        <v>0</v>
      </c>
      <c r="E47" s="10" t="s">
        <v>20</v>
      </c>
      <c r="F47" s="10"/>
      <c r="G47" s="10" t="s">
        <v>23</v>
      </c>
      <c r="H47" s="10" t="n">
        <v>0</v>
      </c>
      <c r="I47" s="10" t="n">
        <v>10</v>
      </c>
      <c r="J47" s="11" t="n">
        <v>45641</v>
      </c>
      <c r="K47" s="11" t="n">
        <v>45731</v>
      </c>
      <c r="L47" s="12" t="n">
        <v>90</v>
      </c>
      <c r="N47" s="1" t="n">
        <v>108.03585500394</v>
      </c>
      <c r="O47" s="1" t="n">
        <v>4.00118203309693</v>
      </c>
      <c r="Q47" s="1" t="n">
        <v>97.0751633986928</v>
      </c>
      <c r="R47" s="1" t="n">
        <v>3.90522875816993</v>
      </c>
      <c r="U47" s="1" t="n">
        <v>0.101454203373941</v>
      </c>
      <c r="V47" s="1" t="n">
        <v>0.0239812320792425</v>
      </c>
    </row>
    <row r="48" customFormat="false" ht="16.4" hidden="false" customHeight="false" outlineLevel="0" collapsed="false">
      <c r="A48" s="13"/>
      <c r="B48" s="9" t="s">
        <v>76</v>
      </c>
      <c r="C48" s="10" t="s">
        <v>19</v>
      </c>
      <c r="D48" s="10" t="n">
        <v>0</v>
      </c>
      <c r="E48" s="10" t="s">
        <v>20</v>
      </c>
      <c r="F48" s="10"/>
      <c r="G48" s="10" t="s">
        <v>23</v>
      </c>
      <c r="H48" s="10" t="n">
        <v>0</v>
      </c>
      <c r="I48" s="10"/>
      <c r="J48" s="11" t="n">
        <v>45641</v>
      </c>
      <c r="K48" s="11" t="n">
        <v>45731</v>
      </c>
      <c r="L48" s="12" t="n">
        <v>90</v>
      </c>
      <c r="N48" s="1" t="n">
        <v>48.8849487785658</v>
      </c>
      <c r="O48" s="1" t="n">
        <v>3.52245862884161</v>
      </c>
      <c r="Q48" s="1" t="n">
        <v>46.3398692810458</v>
      </c>
      <c r="R48" s="1" t="n">
        <v>3.82352941176471</v>
      </c>
      <c r="U48" s="1" t="n">
        <v>0.0520626401604409</v>
      </c>
      <c r="V48" s="1" t="n">
        <v>-0.085471772601658</v>
      </c>
    </row>
    <row r="49" customFormat="false" ht="16.4" hidden="false" customHeight="false" outlineLevel="0" collapsed="false">
      <c r="A49" s="13"/>
      <c r="B49" s="9" t="s">
        <v>77</v>
      </c>
      <c r="C49" s="10" t="s">
        <v>19</v>
      </c>
      <c r="D49" s="10" t="n">
        <v>0</v>
      </c>
      <c r="E49" s="10" t="s">
        <v>20</v>
      </c>
      <c r="F49" s="10"/>
      <c r="G49" s="10" t="s">
        <v>23</v>
      </c>
      <c r="H49" s="10" t="n">
        <v>0</v>
      </c>
      <c r="I49" s="10"/>
      <c r="J49" s="11" t="n">
        <v>45641</v>
      </c>
      <c r="K49" s="11" t="n">
        <v>45731</v>
      </c>
      <c r="L49" s="12" t="n">
        <v>90</v>
      </c>
      <c r="N49" s="1" t="n">
        <v>27.3936170212766</v>
      </c>
      <c r="O49" s="1" t="n">
        <v>2.05082742316785</v>
      </c>
      <c r="Q49" s="1" t="n">
        <v>26.4705882352941</v>
      </c>
      <c r="R49" s="1" t="n">
        <v>1.96078431372549</v>
      </c>
      <c r="U49" s="1" t="n">
        <v>0.0336950314106225</v>
      </c>
      <c r="V49" s="1" t="n">
        <v>0.0439057467367352</v>
      </c>
    </row>
    <row r="50" customFormat="false" ht="15" hidden="false" customHeight="false" outlineLevel="0" collapsed="false">
      <c r="B50" s="9"/>
      <c r="C50" s="10"/>
      <c r="D50" s="10"/>
      <c r="E50" s="10"/>
      <c r="F50" s="10"/>
      <c r="G50" s="10"/>
      <c r="H50" s="10"/>
      <c r="I50" s="10"/>
      <c r="J50" s="11"/>
      <c r="K50" s="11"/>
      <c r="L50" s="12"/>
      <c r="N50" s="1" t="n">
        <v>50.6225374310481</v>
      </c>
      <c r="O50" s="1" t="n">
        <v>12.3404255319149</v>
      </c>
      <c r="Q50" s="1" t="n">
        <v>47.7614379084967</v>
      </c>
      <c r="R50" s="1" t="n">
        <v>12.0424836601307</v>
      </c>
      <c r="U50" s="1" t="n">
        <v>0.0565182953629772</v>
      </c>
      <c r="V50" s="1" t="n">
        <v>0.0241435654721661</v>
      </c>
    </row>
    <row r="51" customFormat="false" ht="15" hidden="false" customHeight="false" outlineLevel="0" collapsed="false">
      <c r="B51" s="9"/>
      <c r="C51" s="10"/>
      <c r="D51" s="10"/>
      <c r="E51" s="10"/>
      <c r="G51" s="10"/>
      <c r="H51" s="10"/>
      <c r="I51" s="10"/>
      <c r="J51" s="11"/>
      <c r="K51" s="11"/>
      <c r="L51" s="12"/>
      <c r="O51" s="1"/>
    </row>
    <row r="52" customFormat="false" ht="15" hidden="false" customHeight="false" outlineLevel="0" collapsed="false">
      <c r="O52" s="1"/>
    </row>
  </sheetData>
  <mergeCells count="3">
    <mergeCell ref="E1:F1"/>
    <mergeCell ref="A2:A24"/>
    <mergeCell ref="A25:A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2"/>
  <sheetViews>
    <sheetView showFormulas="false" showGridLines="true" showRowColHeaders="true" showZeros="true" rightToLeft="false" tabSelected="false" showOutlineSymbols="true" defaultGridColor="true" view="normal" topLeftCell="H13" colorId="64" zoomScale="100" zoomScaleNormal="100" zoomScalePageLayoutView="100" workbookViewId="0">
      <selection pane="topLeft" activeCell="AI67" activeCellId="0" sqref="AI67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3.43"/>
    <col collapsed="false" customWidth="true" hidden="false" outlineLevel="0" max="3" min="3" style="0" width="15.15"/>
    <col collapsed="false" customWidth="true" hidden="false" outlineLevel="0" max="4" min="4" style="0" width="13.71"/>
    <col collapsed="false" customWidth="true" hidden="false" outlineLevel="0" max="15" min="14" style="14" width="9.14"/>
    <col collapsed="false" customWidth="true" hidden="false" outlineLevel="0" max="18" min="18" style="0" width="14"/>
    <col collapsed="false" customWidth="true" hidden="false" outlineLevel="0" max="20" min="19" style="14" width="9.14"/>
    <col collapsed="false" customWidth="true" hidden="false" outlineLevel="0" max="27" min="26" style="14" width="9.14"/>
    <col collapsed="false" customWidth="true" hidden="false" outlineLevel="0" max="34" min="31" style="14" width="9.14"/>
  </cols>
  <sheetData>
    <row r="1" customFormat="false" ht="46.25" hidden="false" customHeight="false" outlineLevel="0" collapsed="false">
      <c r="A1" s="0" t="s">
        <v>0</v>
      </c>
      <c r="B1" s="5" t="s">
        <v>78</v>
      </c>
      <c r="C1" s="5" t="s">
        <v>5</v>
      </c>
      <c r="D1" s="5" t="s">
        <v>7</v>
      </c>
      <c r="E1" s="15" t="s">
        <v>79</v>
      </c>
      <c r="F1" s="15" t="s">
        <v>10</v>
      </c>
      <c r="G1" s="15" t="s">
        <v>80</v>
      </c>
      <c r="I1" s="15" t="s">
        <v>81</v>
      </c>
      <c r="J1" s="14" t="s">
        <v>82</v>
      </c>
      <c r="K1" s="14" t="s">
        <v>12</v>
      </c>
      <c r="L1" s="15" t="s">
        <v>83</v>
      </c>
      <c r="N1" s="14" t="s">
        <v>81</v>
      </c>
      <c r="O1" s="14" t="s">
        <v>82</v>
      </c>
      <c r="P1" s="14" t="s">
        <v>11</v>
      </c>
      <c r="R1" s="15" t="s">
        <v>84</v>
      </c>
      <c r="S1" s="14" t="s">
        <v>80</v>
      </c>
      <c r="U1" s="15" t="s">
        <v>81</v>
      </c>
      <c r="V1" s="14" t="s">
        <v>82</v>
      </c>
      <c r="W1" s="14" t="s">
        <v>85</v>
      </c>
      <c r="X1" s="15" t="s">
        <v>83</v>
      </c>
      <c r="Z1" s="14" t="s">
        <v>81</v>
      </c>
      <c r="AA1" s="14" t="s">
        <v>82</v>
      </c>
      <c r="AB1" s="14" t="s">
        <v>86</v>
      </c>
      <c r="AC1" s="14" t="s">
        <v>16</v>
      </c>
      <c r="AD1" s="14" t="s">
        <v>15</v>
      </c>
    </row>
    <row r="2" customFormat="false" ht="31.3" hidden="false" customHeight="false" outlineLevel="0" collapsed="false">
      <c r="A2" s="0" t="s">
        <v>17</v>
      </c>
      <c r="B2" s="9" t="s">
        <v>87</v>
      </c>
      <c r="C2" s="10" t="s">
        <v>21</v>
      </c>
      <c r="D2" s="10" t="n">
        <v>7</v>
      </c>
      <c r="E2" s="0" t="n">
        <v>473</v>
      </c>
      <c r="F2" s="0" t="n">
        <v>81</v>
      </c>
      <c r="J2" s="14"/>
      <c r="K2" s="14"/>
      <c r="P2" s="14"/>
      <c r="R2" s="0" t="n">
        <v>267</v>
      </c>
      <c r="V2" s="14"/>
      <c r="W2" s="14"/>
      <c r="AB2" s="14"/>
      <c r="AC2" s="14"/>
      <c r="AD2" s="14"/>
    </row>
    <row r="3" customFormat="false" ht="31.3" hidden="false" customHeight="false" outlineLevel="0" collapsed="false">
      <c r="B3" s="9" t="s">
        <v>88</v>
      </c>
      <c r="C3" s="10" t="s">
        <v>23</v>
      </c>
      <c r="D3" s="10" t="n">
        <v>8</v>
      </c>
      <c r="E3" s="0" t="n">
        <v>482</v>
      </c>
      <c r="F3" s="0" t="n">
        <v>81</v>
      </c>
      <c r="G3" s="0" t="n">
        <v>362</v>
      </c>
      <c r="H3" s="0" t="n">
        <v>349</v>
      </c>
      <c r="I3" s="15" t="n">
        <f aca="false">((G3+H3)/2)-20</f>
        <v>335.5</v>
      </c>
      <c r="J3" s="14" t="n">
        <f aca="false">I3/F3</f>
        <v>4.14197530864198</v>
      </c>
      <c r="K3" s="1" t="n">
        <f aca="false">J3/0.94</f>
        <v>4.40635671132125</v>
      </c>
      <c r="L3" s="0" t="n">
        <v>343</v>
      </c>
      <c r="M3" s="0" t="n">
        <v>334</v>
      </c>
      <c r="N3" s="14" t="n">
        <f aca="false">((L3+M3)/2)-20</f>
        <v>318.5</v>
      </c>
      <c r="O3" s="14" t="n">
        <f aca="false">N3/F3</f>
        <v>3.9320987654321</v>
      </c>
      <c r="P3" s="1" t="n">
        <f aca="false">(O3/0.09)-K3</f>
        <v>39.2836295712576</v>
      </c>
      <c r="R3" s="0" t="n">
        <v>257</v>
      </c>
      <c r="S3" s="14" t="n">
        <v>140</v>
      </c>
      <c r="T3" s="14" t="n">
        <v>139</v>
      </c>
      <c r="U3" s="15" t="n">
        <f aca="false">((S3+T3)/2)-20</f>
        <v>119.5</v>
      </c>
      <c r="V3" s="14" t="n">
        <f aca="false">U3/F3</f>
        <v>1.47530864197531</v>
      </c>
      <c r="W3" s="1" t="n">
        <f aca="false">V3/0.34</f>
        <v>4.33914306463326</v>
      </c>
      <c r="X3" s="0" t="n">
        <v>132</v>
      </c>
      <c r="Y3" s="0" t="n">
        <v>141</v>
      </c>
      <c r="Z3" s="14" t="n">
        <f aca="false">((X3+Y3)/2)-20</f>
        <v>116.5</v>
      </c>
      <c r="AA3" s="14" t="n">
        <f aca="false">Z3/F3</f>
        <v>1.43827160493827</v>
      </c>
      <c r="AB3" s="1" t="n">
        <f aca="false">(AA3/0.034)-W3</f>
        <v>37.962962962963</v>
      </c>
      <c r="AC3" s="14" t="n">
        <f aca="false">(K3-W3)/K3</f>
        <v>0.0152537915315158</v>
      </c>
      <c r="AD3" s="14" t="n">
        <f aca="false">(P3-AB3)/P3</f>
        <v>0.0336187522056505</v>
      </c>
    </row>
    <row r="4" customFormat="false" ht="15" hidden="false" customHeight="false" outlineLevel="0" collapsed="false">
      <c r="B4" s="10" t="s">
        <v>89</v>
      </c>
      <c r="C4" s="10" t="s">
        <v>25</v>
      </c>
      <c r="D4" s="10" t="n">
        <v>7</v>
      </c>
      <c r="E4" s="0" t="n">
        <v>478</v>
      </c>
      <c r="F4" s="0" t="n">
        <v>81</v>
      </c>
      <c r="G4" s="0" t="n">
        <v>234</v>
      </c>
      <c r="H4" s="0" t="n">
        <v>230</v>
      </c>
      <c r="I4" s="15" t="n">
        <f aca="false">((G4+H4)/2)-20</f>
        <v>212</v>
      </c>
      <c r="J4" s="14" t="n">
        <f aca="false">I4/F4</f>
        <v>2.61728395061728</v>
      </c>
      <c r="K4" s="1" t="n">
        <f aca="false">J4/0.94</f>
        <v>2.78434462831626</v>
      </c>
      <c r="L4" s="16" t="n">
        <v>729</v>
      </c>
      <c r="M4" s="16" t="n">
        <v>740</v>
      </c>
      <c r="N4" s="14" t="n">
        <f aca="false">((L4+M4)/2)-20</f>
        <v>714.5</v>
      </c>
      <c r="O4" s="14" t="n">
        <f aca="false">N4/F4</f>
        <v>8.82098765432099</v>
      </c>
      <c r="P4" s="1" t="n">
        <f aca="false">(O4/0.09)-K4</f>
        <v>95.2266293085836</v>
      </c>
      <c r="R4" s="0" t="n">
        <v>249</v>
      </c>
      <c r="S4" s="16" t="n">
        <v>98</v>
      </c>
      <c r="T4" s="16" t="n">
        <v>91</v>
      </c>
      <c r="U4" s="15" t="n">
        <f aca="false">((S4+T4)/2)-20</f>
        <v>74.5</v>
      </c>
      <c r="V4" s="14" t="n">
        <f aca="false">U4/F4</f>
        <v>0.919753086419753</v>
      </c>
      <c r="W4" s="1" t="n">
        <f aca="false">V4/0.34</f>
        <v>2.70515613652869</v>
      </c>
      <c r="X4" s="16" t="n">
        <v>274</v>
      </c>
      <c r="Y4" s="16" t="n">
        <v>287</v>
      </c>
      <c r="Z4" s="14" t="n">
        <f aca="false">((X4+Y4)/2)-20</f>
        <v>260.5</v>
      </c>
      <c r="AA4" s="14" t="n">
        <f aca="false">Z4/F4</f>
        <v>3.21604938271605</v>
      </c>
      <c r="AB4" s="1" t="n">
        <f aca="false">(AA4/0.034)-W4</f>
        <v>91.8845315904139</v>
      </c>
      <c r="AC4" s="14" t="n">
        <f aca="false">(K4-W4)/K4</f>
        <v>0.0284406215316317</v>
      </c>
      <c r="AD4" s="14" t="n">
        <f aca="false">(P4-AB4)/P4</f>
        <v>0.0350962513577954</v>
      </c>
    </row>
    <row r="5" customFormat="false" ht="16.4" hidden="false" customHeight="false" outlineLevel="0" collapsed="false">
      <c r="B5" s="9" t="s">
        <v>90</v>
      </c>
      <c r="C5" s="10" t="s">
        <v>21</v>
      </c>
      <c r="D5" s="10" t="n">
        <v>4</v>
      </c>
      <c r="E5" s="0" t="n">
        <v>487</v>
      </c>
      <c r="F5" s="0" t="n">
        <v>81</v>
      </c>
      <c r="G5" s="0" t="n">
        <v>199</v>
      </c>
      <c r="H5" s="0" t="n">
        <v>197</v>
      </c>
      <c r="I5" s="15" t="n">
        <f aca="false">((G5+H5)/2)-20</f>
        <v>178</v>
      </c>
      <c r="J5" s="14" t="n">
        <f aca="false">I5/F5</f>
        <v>2.19753086419753</v>
      </c>
      <c r="K5" s="1" t="n">
        <f aca="false">J5/0.94</f>
        <v>2.3377987916995</v>
      </c>
      <c r="L5" s="0" t="n">
        <v>507</v>
      </c>
      <c r="M5" s="0" t="n">
        <v>501</v>
      </c>
      <c r="N5" s="14" t="n">
        <f aca="false">((L5+M5)/2)-20</f>
        <v>484</v>
      </c>
      <c r="O5" s="14" t="n">
        <f aca="false">N5/F5</f>
        <v>5.97530864197531</v>
      </c>
      <c r="P5" s="1" t="n">
        <f aca="false">(O5/0.09)-K5</f>
        <v>64.0545194524706</v>
      </c>
      <c r="R5" s="0" t="n">
        <v>271</v>
      </c>
      <c r="S5" s="14" t="n">
        <v>82</v>
      </c>
      <c r="T5" s="14" t="n">
        <v>85</v>
      </c>
      <c r="U5" s="15" t="n">
        <f aca="false">((S5+T5)/2)-20</f>
        <v>63.5</v>
      </c>
      <c r="V5" s="14" t="n">
        <f aca="false">U5/F5</f>
        <v>0.783950617283951</v>
      </c>
      <c r="W5" s="1" t="n">
        <f aca="false">V5/0.34</f>
        <v>2.30573710965868</v>
      </c>
      <c r="X5" s="0" t="n">
        <v>194</v>
      </c>
      <c r="Y5" s="0" t="n">
        <v>191</v>
      </c>
      <c r="Z5" s="14" t="n">
        <f aca="false">((X5+Y5)/2)-20</f>
        <v>172.5</v>
      </c>
      <c r="AA5" s="14" t="n">
        <f aca="false">Z5/F5</f>
        <v>2.12962962962963</v>
      </c>
      <c r="AB5" s="1" t="n">
        <f aca="false">(AA5/0.034)-W5</f>
        <v>60.3304284676834</v>
      </c>
      <c r="AC5" s="14" t="n">
        <f aca="false">(K5-W5)/K5</f>
        <v>0.0137144745538665</v>
      </c>
      <c r="AD5" s="14" t="n">
        <f aca="false">(P5-AB5)/P5</f>
        <v>0.0581393946378844</v>
      </c>
    </row>
    <row r="6" customFormat="false" ht="16.4" hidden="false" customHeight="false" outlineLevel="0" collapsed="false">
      <c r="B6" s="9" t="s">
        <v>91</v>
      </c>
      <c r="C6" s="10" t="s">
        <v>21</v>
      </c>
      <c r="D6" s="10" t="n">
        <v>12</v>
      </c>
      <c r="E6" s="0" t="n">
        <v>355</v>
      </c>
      <c r="F6" s="0" t="n">
        <v>81</v>
      </c>
      <c r="G6" s="0" t="n">
        <v>58</v>
      </c>
      <c r="H6" s="0" t="n">
        <v>56</v>
      </c>
      <c r="I6" s="15" t="n">
        <f aca="false">((G6+H6)/2)-20</f>
        <v>37</v>
      </c>
      <c r="J6" s="14" t="n">
        <f aca="false">I6/F6</f>
        <v>0.45679012345679</v>
      </c>
      <c r="K6" s="1" t="n">
        <f aca="false">J6/0.94</f>
        <v>0.485946939847649</v>
      </c>
      <c r="L6" s="0" t="n">
        <v>260</v>
      </c>
      <c r="M6" s="0" t="n">
        <v>257</v>
      </c>
      <c r="N6" s="14" t="n">
        <f aca="false">((L6+M6)/2)-20</f>
        <v>238.5</v>
      </c>
      <c r="O6" s="14" t="n">
        <f aca="false">N6/F6</f>
        <v>2.94444444444444</v>
      </c>
      <c r="P6" s="1" t="n">
        <f aca="false">(O6/0.09)-K6</f>
        <v>32.2301024428684</v>
      </c>
      <c r="R6" s="0" t="n">
        <v>266</v>
      </c>
      <c r="S6" s="14" t="n">
        <v>33</v>
      </c>
      <c r="T6" s="14" t="n">
        <v>33</v>
      </c>
      <c r="U6" s="15" t="n">
        <f aca="false">((S6+T6)/2)-20</f>
        <v>13</v>
      </c>
      <c r="V6" s="14" t="n">
        <f aca="false">U6/F6</f>
        <v>0.160493827160494</v>
      </c>
      <c r="W6" s="1" t="n">
        <f aca="false">V6/0.34</f>
        <v>0.472040668119099</v>
      </c>
      <c r="X6" s="0" t="n">
        <v>102</v>
      </c>
      <c r="Y6" s="0" t="n">
        <v>110</v>
      </c>
      <c r="Z6" s="14" t="n">
        <f aca="false">((X6+Y6)/2)-20</f>
        <v>86</v>
      </c>
      <c r="AA6" s="14" t="n">
        <f aca="false">Z6/F6</f>
        <v>1.06172839506173</v>
      </c>
      <c r="AB6" s="1" t="n">
        <f aca="false">(AA6/0.034)-W6</f>
        <v>30.7552650689906</v>
      </c>
      <c r="AC6" s="14" t="n">
        <f aca="false">(K6-W6)/K6</f>
        <v>0.028616852146264</v>
      </c>
      <c r="AD6" s="14" t="n">
        <f aca="false">(P6-AB6)/P6</f>
        <v>0.0457596241430558</v>
      </c>
    </row>
    <row r="7" customFormat="false" ht="16.4" hidden="false" customHeight="false" outlineLevel="0" collapsed="false">
      <c r="B7" s="9" t="s">
        <v>92</v>
      </c>
      <c r="C7" s="10" t="s">
        <v>29</v>
      </c>
      <c r="D7" s="10" t="n">
        <v>6</v>
      </c>
      <c r="E7" s="0" t="n">
        <v>474</v>
      </c>
      <c r="F7" s="0" t="n">
        <v>81</v>
      </c>
      <c r="G7" s="0" t="n">
        <v>443</v>
      </c>
      <c r="H7" s="0" t="n">
        <v>443</v>
      </c>
      <c r="I7" s="15" t="n">
        <f aca="false">((G7+H7)/2)-20</f>
        <v>423</v>
      </c>
      <c r="J7" s="14" t="n">
        <f aca="false">I7/F7</f>
        <v>5.22222222222222</v>
      </c>
      <c r="K7" s="1" t="n">
        <f aca="false">J7/0.94</f>
        <v>5.55555555555556</v>
      </c>
      <c r="L7" s="0" t="n">
        <v>532</v>
      </c>
      <c r="M7" s="0" t="n">
        <v>526</v>
      </c>
      <c r="N7" s="14" t="n">
        <f aca="false">((L7+M7)/2)-20</f>
        <v>509</v>
      </c>
      <c r="O7" s="14" t="n">
        <f aca="false">N7/F7</f>
        <v>6.28395061728395</v>
      </c>
      <c r="P7" s="1" t="n">
        <f aca="false">(O7/0.09)-K7</f>
        <v>64.2661179698217</v>
      </c>
      <c r="R7" s="0" t="n">
        <v>274</v>
      </c>
      <c r="S7" s="14" t="n">
        <v>165</v>
      </c>
      <c r="T7" s="14" t="n">
        <v>172</v>
      </c>
      <c r="U7" s="15" t="n">
        <f aca="false">((S7+T7)/2)-20</f>
        <v>148.5</v>
      </c>
      <c r="V7" s="14" t="n">
        <f aca="false">U7/F7</f>
        <v>1.83333333333333</v>
      </c>
      <c r="W7" s="1" t="n">
        <f aca="false">V7/0.34</f>
        <v>5.3921568627451</v>
      </c>
      <c r="X7" s="0" t="n">
        <v>205</v>
      </c>
      <c r="Y7" s="0" t="n">
        <v>206</v>
      </c>
      <c r="Z7" s="14" t="n">
        <f aca="false">((X7+Y7)/2)-20</f>
        <v>185.5</v>
      </c>
      <c r="AA7" s="14" t="n">
        <f aca="false">Z7/F7</f>
        <v>2.29012345679012</v>
      </c>
      <c r="AB7" s="1" t="n">
        <f aca="false">(AA7/0.034)-W7</f>
        <v>61.9644153957879</v>
      </c>
      <c r="AC7" s="14" t="n">
        <f aca="false">(K7-W7)/K7</f>
        <v>0.0294117647058826</v>
      </c>
      <c r="AD7" s="14" t="n">
        <f aca="false">(P7-AB7)/P7</f>
        <v>0.0358151798606317</v>
      </c>
    </row>
    <row r="8" customFormat="false" ht="31.3" hidden="false" customHeight="false" outlineLevel="0" collapsed="false">
      <c r="B8" s="9" t="s">
        <v>93</v>
      </c>
      <c r="C8" s="10" t="s">
        <v>23</v>
      </c>
      <c r="D8" s="10" t="n">
        <v>2</v>
      </c>
      <c r="E8" s="0" t="n">
        <v>129</v>
      </c>
      <c r="F8" s="0" t="n">
        <v>81</v>
      </c>
      <c r="G8" s="0" t="n">
        <v>114</v>
      </c>
      <c r="H8" s="0" t="n">
        <v>111</v>
      </c>
      <c r="I8" s="15" t="n">
        <f aca="false">((G8+H8)/2)-20</f>
        <v>92.5</v>
      </c>
      <c r="J8" s="14" t="n">
        <f aca="false">I8/F8</f>
        <v>1.14197530864198</v>
      </c>
      <c r="K8" s="1" t="n">
        <f aca="false">J8/0.94</f>
        <v>1.21486734961912</v>
      </c>
      <c r="L8" s="0" t="n">
        <v>230</v>
      </c>
      <c r="M8" s="0" t="n">
        <v>236</v>
      </c>
      <c r="N8" s="14" t="n">
        <f aca="false">((L8+M8)/2)-20</f>
        <v>213</v>
      </c>
      <c r="O8" s="14" t="n">
        <f aca="false">N8/F8</f>
        <v>2.62962962962963</v>
      </c>
      <c r="P8" s="1" t="n">
        <f aca="false">(O8/0.09)-K8</f>
        <v>28.0032396462657</v>
      </c>
      <c r="R8" s="0" t="n">
        <v>254</v>
      </c>
      <c r="S8" s="14" t="n">
        <v>51</v>
      </c>
      <c r="T8" s="14" t="n">
        <v>54</v>
      </c>
      <c r="U8" s="15" t="n">
        <f aca="false">((S8+T8)/2)-20</f>
        <v>32.5</v>
      </c>
      <c r="V8" s="14" t="n">
        <f aca="false">U8/F8</f>
        <v>0.401234567901235</v>
      </c>
      <c r="W8" s="1" t="n">
        <f aca="false">V8/0.34</f>
        <v>1.18010167029775</v>
      </c>
      <c r="X8" s="0" t="n">
        <v>92</v>
      </c>
      <c r="Y8" s="0" t="n">
        <v>99</v>
      </c>
      <c r="Z8" s="14" t="n">
        <f aca="false">((X8+Y8)/2)-20</f>
        <v>75.5</v>
      </c>
      <c r="AA8" s="14" t="n">
        <f aca="false">Z8/F8</f>
        <v>0.932098765432099</v>
      </c>
      <c r="AB8" s="1" t="n">
        <f aca="false">(AA8/0.034)-W8</f>
        <v>26.2345679012346</v>
      </c>
      <c r="AC8" s="14" t="n">
        <f aca="false">(K8-W8)/K8</f>
        <v>0.0286168521462639</v>
      </c>
      <c r="AD8" s="14" t="n">
        <f aca="false">(P8-AB8)/P8</f>
        <v>0.063159540373642</v>
      </c>
    </row>
    <row r="9" customFormat="false" ht="31.3" hidden="false" customHeight="false" outlineLevel="0" collapsed="false">
      <c r="B9" s="9" t="s">
        <v>94</v>
      </c>
      <c r="C9" s="10" t="s">
        <v>23</v>
      </c>
      <c r="D9" s="10" t="n">
        <v>2</v>
      </c>
      <c r="E9" s="0" t="n">
        <v>110</v>
      </c>
      <c r="F9" s="0" t="n">
        <v>81</v>
      </c>
      <c r="G9" s="0" t="n">
        <v>94</v>
      </c>
      <c r="H9" s="0" t="n">
        <v>89</v>
      </c>
      <c r="I9" s="15" t="n">
        <f aca="false">((G9+H9)/2)-20</f>
        <v>71.5</v>
      </c>
      <c r="J9" s="14" t="n">
        <f aca="false">I9/F9</f>
        <v>0.882716049382716</v>
      </c>
      <c r="K9" s="1" t="n">
        <f aca="false">J9/0.94</f>
        <v>0.93905962700289</v>
      </c>
      <c r="L9" s="0" t="n">
        <v>282</v>
      </c>
      <c r="M9" s="0" t="n">
        <v>290</v>
      </c>
      <c r="N9" s="14" t="n">
        <f aca="false">((L9+M9)/2)-20</f>
        <v>266</v>
      </c>
      <c r="O9" s="14" t="n">
        <f aca="false">N9/F9</f>
        <v>3.28395061728395</v>
      </c>
      <c r="P9" s="1" t="n">
        <f aca="false">(O9/0.09)-K9</f>
        <v>35.549280565041</v>
      </c>
      <c r="R9" s="0" t="n">
        <v>277</v>
      </c>
      <c r="S9" s="14" t="n">
        <v>47</v>
      </c>
      <c r="T9" s="14" t="n">
        <v>44</v>
      </c>
      <c r="U9" s="15" t="n">
        <f aca="false">((S9+T9)/2)-20</f>
        <v>25.5</v>
      </c>
      <c r="V9" s="14" t="n">
        <f aca="false">U9/F9</f>
        <v>0.314814814814815</v>
      </c>
      <c r="W9" s="1" t="n">
        <f aca="false">V9/0.34</f>
        <v>0.925925925925926</v>
      </c>
      <c r="X9" s="0" t="n">
        <v>112</v>
      </c>
      <c r="Y9" s="0" t="n">
        <v>119</v>
      </c>
      <c r="Z9" s="14" t="n">
        <f aca="false">((X9+Y9)/2)-20</f>
        <v>95.5</v>
      </c>
      <c r="AA9" s="14" t="n">
        <f aca="false">Z9/F9</f>
        <v>1.17901234567901</v>
      </c>
      <c r="AB9" s="1" t="n">
        <f aca="false">(AA9/0.034)-W9</f>
        <v>33.7509077705156</v>
      </c>
      <c r="AC9" s="14" t="n">
        <f aca="false">(K9-W9)/K9</f>
        <v>0.013986013986014</v>
      </c>
      <c r="AD9" s="14" t="n">
        <f aca="false">(P9-AB9)/P9</f>
        <v>0.0505881628528343</v>
      </c>
    </row>
    <row r="10" customFormat="false" ht="16.4" hidden="false" customHeight="false" outlineLevel="0" collapsed="false">
      <c r="B10" s="9" t="s">
        <v>95</v>
      </c>
      <c r="C10" s="10" t="s">
        <v>25</v>
      </c>
      <c r="D10" s="10" t="n">
        <v>6</v>
      </c>
      <c r="E10" s="0" t="n">
        <v>317</v>
      </c>
      <c r="F10" s="0" t="n">
        <v>81</v>
      </c>
      <c r="G10" s="0" t="n">
        <v>37</v>
      </c>
      <c r="H10" s="0" t="n">
        <v>38</v>
      </c>
      <c r="I10" s="15" t="n">
        <f aca="false">((G10+H10)/2)-20</f>
        <v>17.5</v>
      </c>
      <c r="J10" s="14" t="n">
        <f aca="false">I10/F10</f>
        <v>0.216049382716049</v>
      </c>
      <c r="K10" s="1" t="n">
        <f aca="false">J10/0.94</f>
        <v>0.229839768846861</v>
      </c>
      <c r="P10" s="1"/>
      <c r="R10" s="0" t="n">
        <v>259</v>
      </c>
      <c r="S10" s="14" t="n">
        <v>25</v>
      </c>
      <c r="T10" s="14" t="n">
        <v>28</v>
      </c>
      <c r="U10" s="15" t="n">
        <f aca="false">((S10+T10)/2)-20</f>
        <v>6.5</v>
      </c>
      <c r="V10" s="14" t="n">
        <f aca="false">U10/F10</f>
        <v>0.0802469135802469</v>
      </c>
      <c r="W10" s="1" t="n">
        <f aca="false">V10/0.34</f>
        <v>0.23602033405955</v>
      </c>
      <c r="AB10" s="1"/>
      <c r="AC10" s="14" t="n">
        <f aca="false">(K10-W10)/K10</f>
        <v>-0.0268907563025209</v>
      </c>
      <c r="AD10" s="14"/>
    </row>
    <row r="11" customFormat="false" ht="31.3" hidden="false" customHeight="false" outlineLevel="0" collapsed="false">
      <c r="B11" s="9" t="s">
        <v>96</v>
      </c>
      <c r="C11" s="10" t="s">
        <v>21</v>
      </c>
      <c r="D11" s="10" t="n">
        <v>4</v>
      </c>
      <c r="E11" s="0" t="n">
        <v>269</v>
      </c>
      <c r="F11" s="0" t="n">
        <v>81</v>
      </c>
      <c r="G11" s="0" t="n">
        <v>188</v>
      </c>
      <c r="H11" s="0" t="n">
        <v>193</v>
      </c>
      <c r="I11" s="15" t="n">
        <f aca="false">((G11+H11)/2)-20</f>
        <v>170.5</v>
      </c>
      <c r="J11" s="14" t="n">
        <f aca="false">I11/F11</f>
        <v>2.10493827160494</v>
      </c>
      <c r="K11" s="1" t="n">
        <f aca="false">J11/0.94</f>
        <v>2.23929603362227</v>
      </c>
      <c r="L11" s="0" t="n">
        <v>381</v>
      </c>
      <c r="M11" s="0" t="n">
        <v>384</v>
      </c>
      <c r="N11" s="14" t="n">
        <f aca="false">((L11+M11)/2)-20</f>
        <v>362.5</v>
      </c>
      <c r="O11" s="14" t="n">
        <f aca="false">N11/F11</f>
        <v>4.47530864197531</v>
      </c>
      <c r="P11" s="1" t="n">
        <f aca="false">(O11/0.09)-K11</f>
        <v>47.4863555438812</v>
      </c>
      <c r="R11" s="0" t="n">
        <v>273</v>
      </c>
      <c r="S11" s="14" t="n">
        <v>82</v>
      </c>
      <c r="T11" s="14" t="n">
        <v>78</v>
      </c>
      <c r="U11" s="15" t="n">
        <f aca="false">((S11+T11)/2)-20</f>
        <v>60</v>
      </c>
      <c r="V11" s="14" t="n">
        <f aca="false">U11/F11</f>
        <v>0.740740740740741</v>
      </c>
      <c r="W11" s="1" t="n">
        <f aca="false">V11/0.34</f>
        <v>2.17864923747277</v>
      </c>
      <c r="X11" s="0" t="n">
        <v>147</v>
      </c>
      <c r="Y11" s="0" t="n">
        <v>151</v>
      </c>
      <c r="Z11" s="14" t="n">
        <f aca="false">((X11+Y11)/2)-20</f>
        <v>129</v>
      </c>
      <c r="AA11" s="14" t="n">
        <f aca="false">Z11/F11</f>
        <v>1.59259259259259</v>
      </c>
      <c r="AB11" s="1" t="n">
        <f aca="false">(AA11/0.034)-W11</f>
        <v>44.6623093681917</v>
      </c>
      <c r="AC11" s="14" t="n">
        <f aca="false">(K11-W11)/K11</f>
        <v>0.0270829739520444</v>
      </c>
      <c r="AD11" s="14" t="n">
        <f aca="false">(P11-AB11)/P11</f>
        <v>0.0594706867550574</v>
      </c>
    </row>
    <row r="12" customFormat="false" ht="16.4" hidden="false" customHeight="false" outlineLevel="0" collapsed="false">
      <c r="B12" s="9" t="s">
        <v>97</v>
      </c>
      <c r="C12" s="10" t="s">
        <v>23</v>
      </c>
      <c r="D12" s="10" t="n">
        <v>3</v>
      </c>
      <c r="E12" s="0" t="n">
        <v>503</v>
      </c>
      <c r="F12" s="0" t="n">
        <v>81</v>
      </c>
      <c r="G12" s="0" t="n">
        <v>155</v>
      </c>
      <c r="H12" s="0" t="n">
        <v>155</v>
      </c>
      <c r="I12" s="15" t="n">
        <f aca="false">((G12+H12)/2)-20</f>
        <v>135</v>
      </c>
      <c r="J12" s="14" t="n">
        <f aca="false">I12/F12</f>
        <v>1.66666666666667</v>
      </c>
      <c r="K12" s="1" t="n">
        <f aca="false">J12/0.94</f>
        <v>1.77304964539007</v>
      </c>
      <c r="L12" s="0" t="n">
        <v>229</v>
      </c>
      <c r="M12" s="0" t="n">
        <v>231</v>
      </c>
      <c r="N12" s="14" t="n">
        <f aca="false">((L12+M12)/2)-20</f>
        <v>210</v>
      </c>
      <c r="O12" s="14" t="n">
        <f aca="false">N12/F12</f>
        <v>2.59259259259259</v>
      </c>
      <c r="P12" s="1" t="n">
        <f aca="false">(O12/0.09)-K12</f>
        <v>27.0335347167499</v>
      </c>
      <c r="R12" s="0" t="n">
        <v>248</v>
      </c>
      <c r="S12" s="14" t="n">
        <v>68</v>
      </c>
      <c r="T12" s="14" t="n">
        <v>68</v>
      </c>
      <c r="U12" s="15" t="n">
        <f aca="false">((S12+T12)/2)-20</f>
        <v>48</v>
      </c>
      <c r="V12" s="14" t="n">
        <f aca="false">U12/F12</f>
        <v>0.592592592592593</v>
      </c>
      <c r="W12" s="1" t="n">
        <f aca="false">V12/0.34</f>
        <v>1.74291938997821</v>
      </c>
      <c r="X12" s="0" t="n">
        <v>99</v>
      </c>
      <c r="Y12" s="0" t="n">
        <v>97</v>
      </c>
      <c r="Z12" s="14" t="n">
        <f aca="false">((X12+Y12)/2)-20</f>
        <v>78</v>
      </c>
      <c r="AA12" s="14" t="n">
        <f aca="false">Z12/F12</f>
        <v>0.962962962962963</v>
      </c>
      <c r="AB12" s="1" t="n">
        <f aca="false">(AA12/0.034)-W12</f>
        <v>26.5795206971678</v>
      </c>
      <c r="AC12" s="14" t="n">
        <f aca="false">(K12-W12)/K12</f>
        <v>0.0169934640522877</v>
      </c>
      <c r="AD12" s="14" t="n">
        <f aca="false">(P12-AB12)/P12</f>
        <v>0.0167944748749703</v>
      </c>
    </row>
    <row r="13" customFormat="false" ht="31.3" hidden="false" customHeight="false" outlineLevel="0" collapsed="false">
      <c r="B13" s="9" t="s">
        <v>98</v>
      </c>
      <c r="C13" s="10" t="s">
        <v>23</v>
      </c>
      <c r="D13" s="10" t="n">
        <v>8</v>
      </c>
      <c r="E13" s="0" t="n">
        <v>395</v>
      </c>
      <c r="F13" s="0" t="n">
        <v>81</v>
      </c>
      <c r="G13" s="0" t="n">
        <v>164</v>
      </c>
      <c r="H13" s="0" t="n">
        <v>163</v>
      </c>
      <c r="I13" s="15" t="n">
        <f aca="false">((G13+H13)/2)-20</f>
        <v>143.5</v>
      </c>
      <c r="J13" s="14" t="n">
        <f aca="false">I13/F13</f>
        <v>1.77160493827161</v>
      </c>
      <c r="K13" s="1" t="n">
        <f aca="false">J13/0.94</f>
        <v>1.88468610454426</v>
      </c>
      <c r="L13" s="0" t="n">
        <v>376</v>
      </c>
      <c r="M13" s="0" t="n">
        <v>364</v>
      </c>
      <c r="N13" s="14" t="n">
        <f aca="false">((L13+M13)/2)-20</f>
        <v>350</v>
      </c>
      <c r="O13" s="14" t="n">
        <f aca="false">N13/F13</f>
        <v>4.32098765432099</v>
      </c>
      <c r="P13" s="1" t="n">
        <f aca="false">(O13/0.09)-K13</f>
        <v>46.1262878323556</v>
      </c>
      <c r="R13" s="0" t="n">
        <v>272</v>
      </c>
      <c r="S13" s="14" t="n">
        <v>71</v>
      </c>
      <c r="T13" s="14" t="n">
        <v>71</v>
      </c>
      <c r="U13" s="15" t="n">
        <f aca="false">((S13+T13)/2)-20</f>
        <v>51</v>
      </c>
      <c r="V13" s="14" t="n">
        <f aca="false">U13/F13</f>
        <v>0.62962962962963</v>
      </c>
      <c r="W13" s="1" t="n">
        <f aca="false">V13/0.34</f>
        <v>1.85185185185185</v>
      </c>
      <c r="X13" s="0" t="n">
        <v>142</v>
      </c>
      <c r="Y13" s="0" t="n">
        <v>149</v>
      </c>
      <c r="Z13" s="14" t="n">
        <f aca="false">((X13+Y13)/2)-20</f>
        <v>125.5</v>
      </c>
      <c r="AA13" s="14" t="n">
        <f aca="false">Z13/F13</f>
        <v>1.54938271604938</v>
      </c>
      <c r="AB13" s="1" t="n">
        <f aca="false">(AA13/0.034)-W13</f>
        <v>43.7182280319535</v>
      </c>
      <c r="AC13" s="14" t="n">
        <f aca="false">(K13-W13)/K13</f>
        <v>0.0174216027874566</v>
      </c>
      <c r="AD13" s="14" t="n">
        <f aca="false">(P13-AB13)/P13</f>
        <v>0.0522058009340378</v>
      </c>
    </row>
    <row r="14" customFormat="false" ht="31.3" hidden="false" customHeight="false" outlineLevel="0" collapsed="false">
      <c r="B14" s="9" t="s">
        <v>99</v>
      </c>
      <c r="C14" s="10" t="s">
        <v>21</v>
      </c>
      <c r="D14" s="10" t="n">
        <v>9</v>
      </c>
      <c r="E14" s="0" t="n">
        <v>281</v>
      </c>
      <c r="F14" s="0" t="n">
        <v>81</v>
      </c>
      <c r="G14" s="0" t="n">
        <v>50</v>
      </c>
      <c r="H14" s="0" t="n">
        <v>49</v>
      </c>
      <c r="I14" s="15" t="n">
        <f aca="false">((G14+H14)/2)-20</f>
        <v>29.5</v>
      </c>
      <c r="J14" s="14" t="n">
        <f aca="false">I14/F14</f>
        <v>0.364197530864198</v>
      </c>
      <c r="K14" s="1" t="n">
        <f aca="false">J14/0.94</f>
        <v>0.387444181770423</v>
      </c>
      <c r="P14" s="1"/>
      <c r="R14" s="0" t="n">
        <v>280</v>
      </c>
      <c r="S14" s="14" t="n">
        <v>28</v>
      </c>
      <c r="T14" s="14" t="n">
        <v>33</v>
      </c>
      <c r="U14" s="15" t="n">
        <f aca="false">((S14+T14)/2)-20</f>
        <v>10.5</v>
      </c>
      <c r="V14" s="14" t="n">
        <f aca="false">U14/F14</f>
        <v>0.12962962962963</v>
      </c>
      <c r="W14" s="1" t="n">
        <f aca="false">V14/0.34</f>
        <v>0.381263616557734</v>
      </c>
      <c r="X14" s="0" t="n">
        <v>97</v>
      </c>
      <c r="Y14" s="0" t="n">
        <v>93</v>
      </c>
      <c r="Z14" s="14" t="n">
        <f aca="false">((X14+Y14)/2)-20</f>
        <v>75</v>
      </c>
      <c r="AA14" s="14" t="n">
        <f aca="false">Z14/F14</f>
        <v>0.925925925925926</v>
      </c>
      <c r="AB14" s="1" t="n">
        <f aca="false">(AA14/0.034)-W14</f>
        <v>26.8518518518518</v>
      </c>
      <c r="AC14" s="14" t="n">
        <f aca="false">(K14-W14)/K14</f>
        <v>0.0159521435692923</v>
      </c>
      <c r="AD14" s="14"/>
    </row>
    <row r="15" customFormat="false" ht="16.4" hidden="false" customHeight="false" outlineLevel="0" collapsed="false">
      <c r="B15" s="9" t="s">
        <v>100</v>
      </c>
      <c r="C15" s="10" t="s">
        <v>23</v>
      </c>
      <c r="D15" s="10" t="n">
        <v>7</v>
      </c>
      <c r="E15" s="0" t="n">
        <v>275</v>
      </c>
      <c r="F15" s="0" t="n">
        <v>81</v>
      </c>
      <c r="G15" s="0" t="n">
        <v>326</v>
      </c>
      <c r="H15" s="0" t="n">
        <v>322</v>
      </c>
      <c r="I15" s="15" t="n">
        <f aca="false">((G15+H15)/2)-20</f>
        <v>304</v>
      </c>
      <c r="J15" s="14" t="n">
        <f aca="false">I15/F15</f>
        <v>3.75308641975309</v>
      </c>
      <c r="K15" s="1" t="n">
        <f aca="false">J15/0.94</f>
        <v>3.9926451273969</v>
      </c>
      <c r="L15" s="0" t="n">
        <v>798</v>
      </c>
      <c r="M15" s="0" t="n">
        <v>788</v>
      </c>
      <c r="N15" s="14" t="n">
        <f aca="false">((L15+M15)/2)-20</f>
        <v>773</v>
      </c>
      <c r="O15" s="14" t="n">
        <f aca="false">N15/F15</f>
        <v>9.54320987654321</v>
      </c>
      <c r="P15" s="1" t="n">
        <f aca="false">(O15/0.09)-K15</f>
        <v>102.043020167528</v>
      </c>
      <c r="Q15" s="17"/>
      <c r="R15" s="15" t="n">
        <v>255</v>
      </c>
      <c r="V15" s="14"/>
      <c r="W15" s="1"/>
      <c r="AB15" s="1"/>
      <c r="AC15" s="14"/>
      <c r="AD15" s="14"/>
    </row>
    <row r="16" customFormat="false" ht="31.3" hidden="false" customHeight="false" outlineLevel="0" collapsed="false">
      <c r="B16" s="9" t="s">
        <v>101</v>
      </c>
      <c r="C16" s="10" t="s">
        <v>39</v>
      </c>
      <c r="D16" s="10" t="n">
        <v>6</v>
      </c>
      <c r="E16" s="0" t="n">
        <v>217</v>
      </c>
      <c r="F16" s="0" t="n">
        <v>81</v>
      </c>
      <c r="G16" s="0" t="n">
        <v>69</v>
      </c>
      <c r="H16" s="0" t="n">
        <v>68</v>
      </c>
      <c r="I16" s="15" t="n">
        <f aca="false">((G16+H16)/2)-20</f>
        <v>48.5</v>
      </c>
      <c r="J16" s="14" t="n">
        <f aca="false">I16/F16</f>
        <v>0.598765432098765</v>
      </c>
      <c r="K16" s="1" t="n">
        <f aca="false">J16/0.94</f>
        <v>0.636984502232729</v>
      </c>
      <c r="L16" s="0" t="n">
        <v>280</v>
      </c>
      <c r="M16" s="0" t="n">
        <v>282</v>
      </c>
      <c r="N16" s="14" t="n">
        <f aca="false">((L16+M16)/2)-20</f>
        <v>261</v>
      </c>
      <c r="O16" s="14" t="n">
        <f aca="false">N16/F16</f>
        <v>3.22222222222222</v>
      </c>
      <c r="P16" s="1" t="n">
        <f aca="false">(O16/0.09)-K16</f>
        <v>35.1654846335697</v>
      </c>
      <c r="Q16" s="17"/>
      <c r="R16" s="0" t="n">
        <v>268</v>
      </c>
      <c r="S16" s="14" t="n">
        <v>41</v>
      </c>
      <c r="T16" s="14" t="n">
        <v>33</v>
      </c>
      <c r="U16" s="15" t="n">
        <f aca="false">((S16+T16)/2)-20</f>
        <v>17</v>
      </c>
      <c r="V16" s="14" t="n">
        <f aca="false">U16/F16</f>
        <v>0.209876543209877</v>
      </c>
      <c r="W16" s="1" t="n">
        <f aca="false">V16/0.34</f>
        <v>0.617283950617284</v>
      </c>
      <c r="X16" s="0" t="n">
        <v>111</v>
      </c>
      <c r="Y16" s="0" t="n">
        <v>119</v>
      </c>
      <c r="Z16" s="14" t="n">
        <f aca="false">((X16+Y16)/2)-20</f>
        <v>95</v>
      </c>
      <c r="AA16" s="14" t="n">
        <f aca="false">Z16/F16</f>
        <v>1.17283950617284</v>
      </c>
      <c r="AB16" s="1" t="n">
        <f aca="false">(AA16/0.034)-W16</f>
        <v>33.8779956427015</v>
      </c>
      <c r="AC16" s="14" t="n">
        <f aca="false">(K16-W16)/K16</f>
        <v>0.0309278350515464</v>
      </c>
      <c r="AD16" s="14" t="n">
        <f aca="false">(P16-AB16)/P16</f>
        <v>0.0366122919756137</v>
      </c>
    </row>
    <row r="17" customFormat="false" ht="31.3" hidden="false" customHeight="false" outlineLevel="0" collapsed="false">
      <c r="B17" s="9" t="s">
        <v>102</v>
      </c>
      <c r="C17" s="10" t="s">
        <v>21</v>
      </c>
      <c r="D17" s="10" t="n">
        <v>4</v>
      </c>
      <c r="E17" s="0" t="n">
        <v>226</v>
      </c>
      <c r="F17" s="0" t="n">
        <v>81</v>
      </c>
      <c r="G17" s="0" t="n">
        <v>200</v>
      </c>
      <c r="H17" s="0" t="n">
        <v>189</v>
      </c>
      <c r="I17" s="15" t="n">
        <f aca="false">((G17+H17)/2)-20</f>
        <v>174.5</v>
      </c>
      <c r="J17" s="14" t="n">
        <f aca="false">I17/F17</f>
        <v>2.15432098765432</v>
      </c>
      <c r="K17" s="1" t="n">
        <f aca="false">J17/0.94</f>
        <v>2.29183083793013</v>
      </c>
      <c r="L17" s="0" t="n">
        <v>338</v>
      </c>
      <c r="M17" s="0" t="n">
        <v>342</v>
      </c>
      <c r="N17" s="14" t="n">
        <f aca="false">((L17+M17)/2)-20</f>
        <v>320</v>
      </c>
      <c r="O17" s="14" t="n">
        <f aca="false">N17/F17</f>
        <v>3.95061728395062</v>
      </c>
      <c r="P17" s="1" t="n">
        <f aca="false">(O17/0.09)-K17</f>
        <v>41.6039167615212</v>
      </c>
      <c r="R17" s="0" t="n">
        <v>269</v>
      </c>
      <c r="S17" s="14" t="n">
        <v>81</v>
      </c>
      <c r="T17" s="14" t="n">
        <v>82</v>
      </c>
      <c r="U17" s="15" t="n">
        <f aca="false">((S17+T17)/2)-20</f>
        <v>61.5</v>
      </c>
      <c r="V17" s="14" t="n">
        <f aca="false">U17/F17</f>
        <v>0.759259259259259</v>
      </c>
      <c r="W17" s="1" t="n">
        <f aca="false">V17/0.34</f>
        <v>2.23311546840959</v>
      </c>
      <c r="X17" s="0" t="n">
        <v>133</v>
      </c>
      <c r="Y17" s="0" t="n">
        <v>135</v>
      </c>
      <c r="Z17" s="14" t="n">
        <f aca="false">((X17+Y17)/2)-20</f>
        <v>114</v>
      </c>
      <c r="AA17" s="14" t="n">
        <f aca="false">Z17/F17</f>
        <v>1.40740740740741</v>
      </c>
      <c r="AB17" s="1" t="n">
        <f aca="false">(AA17/0.034)-W17</f>
        <v>39.161220043573</v>
      </c>
      <c r="AC17" s="14" t="n">
        <f aca="false">(K17-W17)/K17</f>
        <v>0.0256194168211697</v>
      </c>
      <c r="AD17" s="14" t="n">
        <f aca="false">(P17-AB17)/P17</f>
        <v>0.0587131430905902</v>
      </c>
    </row>
    <row r="18" customFormat="false" ht="31.3" hidden="false" customHeight="false" outlineLevel="0" collapsed="false">
      <c r="B18" s="9" t="s">
        <v>103</v>
      </c>
      <c r="C18" s="10" t="s">
        <v>42</v>
      </c>
      <c r="D18" s="10" t="n">
        <v>8</v>
      </c>
      <c r="E18" s="0" t="n">
        <v>316</v>
      </c>
      <c r="F18" s="0" t="n">
        <v>81</v>
      </c>
      <c r="G18" s="0" t="n">
        <v>132</v>
      </c>
      <c r="H18" s="0" t="n">
        <v>129</v>
      </c>
      <c r="I18" s="15" t="n">
        <f aca="false">((G18+H18)/2)-20</f>
        <v>110.5</v>
      </c>
      <c r="J18" s="14" t="n">
        <f aca="false">I18/F18</f>
        <v>1.3641975308642</v>
      </c>
      <c r="K18" s="1" t="n">
        <f aca="false">J18/0.94</f>
        <v>1.45127396900447</v>
      </c>
      <c r="L18" s="0" t="n">
        <v>348</v>
      </c>
      <c r="M18" s="0" t="n">
        <v>348</v>
      </c>
      <c r="N18" s="14" t="n">
        <f aca="false">((L18+M18)/2)-20</f>
        <v>328</v>
      </c>
      <c r="O18" s="14" t="n">
        <f aca="false">N18/F18</f>
        <v>4.04938271604938</v>
      </c>
      <c r="P18" s="1" t="n">
        <f aca="false">(O18/0.09)-K18</f>
        <v>43.5418673204331</v>
      </c>
      <c r="R18" s="0" t="n">
        <v>275</v>
      </c>
      <c r="S18" s="14" t="n">
        <v>59</v>
      </c>
      <c r="T18" s="14" t="n">
        <v>60</v>
      </c>
      <c r="U18" s="15" t="n">
        <f aca="false">((S18+T18)/2)-20</f>
        <v>39.5</v>
      </c>
      <c r="V18" s="14" t="n">
        <f aca="false">U18/F18</f>
        <v>0.487654320987654</v>
      </c>
      <c r="W18" s="1" t="n">
        <f aca="false">V18/0.34</f>
        <v>1.43427741466957</v>
      </c>
      <c r="X18" s="0" t="n">
        <v>139</v>
      </c>
      <c r="Y18" s="0" t="n">
        <v>144</v>
      </c>
      <c r="Z18" s="14" t="n">
        <f aca="false">((X18+Y18)/2)-20</f>
        <v>121.5</v>
      </c>
      <c r="AA18" s="14" t="n">
        <f aca="false">Z18/F18</f>
        <v>1.5</v>
      </c>
      <c r="AB18" s="1" t="n">
        <f aca="false">(AA18/0.034)-W18</f>
        <v>42.683369644154</v>
      </c>
      <c r="AC18" s="14" t="n">
        <f aca="false">(K18-W18)/K18</f>
        <v>0.0117114719190846</v>
      </c>
      <c r="AD18" s="14" t="n">
        <f aca="false">(P18-AB18)/P18</f>
        <v>0.0197166021833954</v>
      </c>
    </row>
    <row r="19" customFormat="false" ht="31.3" hidden="false" customHeight="false" outlineLevel="0" collapsed="false">
      <c r="B19" s="9" t="s">
        <v>104</v>
      </c>
      <c r="C19" s="10" t="s">
        <v>23</v>
      </c>
      <c r="D19" s="10" t="n">
        <v>2</v>
      </c>
      <c r="E19" s="0" t="n">
        <v>361</v>
      </c>
      <c r="F19" s="0" t="n">
        <v>81</v>
      </c>
      <c r="G19" s="0" t="n">
        <v>105</v>
      </c>
      <c r="H19" s="0" t="n">
        <v>108</v>
      </c>
      <c r="I19" s="15" t="n">
        <f aca="false">((G19+H19)/2)-20</f>
        <v>86.5</v>
      </c>
      <c r="J19" s="14" t="n">
        <f aca="false">I19/F19</f>
        <v>1.0679012345679</v>
      </c>
      <c r="K19" s="1" t="n">
        <f aca="false">J19/0.94</f>
        <v>1.13606514315734</v>
      </c>
      <c r="L19" s="0" t="n">
        <v>148</v>
      </c>
      <c r="M19" s="0" t="n">
        <v>249</v>
      </c>
      <c r="N19" s="14" t="n">
        <f aca="false">((L19+M19)/2)-20</f>
        <v>178.5</v>
      </c>
      <c r="O19" s="14" t="n">
        <f aca="false">N19/F19</f>
        <v>2.2037037037037</v>
      </c>
      <c r="P19" s="1" t="n">
        <f aca="false">(O19/0.09)-K19</f>
        <v>23.3495315646616</v>
      </c>
      <c r="R19" s="0" t="n">
        <v>260</v>
      </c>
      <c r="S19" s="14" t="n">
        <v>51</v>
      </c>
      <c r="T19" s="14" t="n">
        <v>50</v>
      </c>
      <c r="U19" s="15" t="n">
        <f aca="false">((S19+T19)/2)-20</f>
        <v>30.5</v>
      </c>
      <c r="V19" s="14" t="n">
        <f aca="false">U19/F19</f>
        <v>0.376543209876543</v>
      </c>
      <c r="W19" s="1" t="n">
        <f aca="false">V19/0.34</f>
        <v>1.10748002904866</v>
      </c>
      <c r="X19" s="0" t="n">
        <v>86</v>
      </c>
      <c r="Y19" s="0" t="n">
        <v>85</v>
      </c>
      <c r="Z19" s="14" t="n">
        <f aca="false">((X19+Y19)/2)-20</f>
        <v>65.5</v>
      </c>
      <c r="AA19" s="14" t="n">
        <f aca="false">Z19/F19</f>
        <v>0.808641975308642</v>
      </c>
      <c r="AB19" s="1" t="n">
        <f aca="false">(AA19/0.034)-W19</f>
        <v>22.6761074800291</v>
      </c>
      <c r="AC19" s="14" t="n">
        <f aca="false">(K19-W19)/K19</f>
        <v>0.0251615096905816</v>
      </c>
      <c r="AD19" s="14" t="n">
        <f aca="false">(P19-AB19)/P19</f>
        <v>0.0288410104831283</v>
      </c>
    </row>
    <row r="20" customFormat="false" ht="16.4" hidden="false" customHeight="false" outlineLevel="0" collapsed="false">
      <c r="B20" s="9" t="s">
        <v>105</v>
      </c>
      <c r="C20" s="10" t="s">
        <v>29</v>
      </c>
      <c r="D20" s="10" t="n">
        <v>10</v>
      </c>
      <c r="E20" s="0" t="n">
        <v>477</v>
      </c>
      <c r="F20" s="0" t="n">
        <v>81</v>
      </c>
      <c r="G20" s="0" t="n">
        <v>254</v>
      </c>
      <c r="H20" s="0" t="n">
        <v>254</v>
      </c>
      <c r="I20" s="15" t="n">
        <f aca="false">((G20+H20)/2)-20</f>
        <v>234</v>
      </c>
      <c r="J20" s="14" t="n">
        <f aca="false">I20/F20</f>
        <v>2.88888888888889</v>
      </c>
      <c r="K20" s="1" t="n">
        <f aca="false">J20/0.94</f>
        <v>3.07328605200946</v>
      </c>
      <c r="L20" s="0" t="n">
        <v>523</v>
      </c>
      <c r="M20" s="0" t="n">
        <v>507</v>
      </c>
      <c r="N20" s="14" t="n">
        <f aca="false">((L20+M20)/2)-20</f>
        <v>495</v>
      </c>
      <c r="O20" s="14" t="n">
        <f aca="false">N20/F20</f>
        <v>6.11111111111111</v>
      </c>
      <c r="P20" s="1" t="n">
        <f aca="false">(O20/0.09)-K20</f>
        <v>64.8279485158918</v>
      </c>
      <c r="R20" s="0" t="n">
        <v>262</v>
      </c>
      <c r="S20" s="14" t="n">
        <v>101</v>
      </c>
      <c r="T20" s="14" t="n">
        <v>105</v>
      </c>
      <c r="U20" s="15" t="n">
        <f aca="false">((S20+T20)/2)-20</f>
        <v>83</v>
      </c>
      <c r="V20" s="14" t="n">
        <f aca="false">U20/F20</f>
        <v>1.02469135802469</v>
      </c>
      <c r="W20" s="1" t="n">
        <f aca="false">V20/0.34</f>
        <v>3.01379811183733</v>
      </c>
      <c r="X20" s="0" t="n">
        <v>202</v>
      </c>
      <c r="Y20" s="0" t="n">
        <v>205</v>
      </c>
      <c r="Z20" s="14" t="n">
        <f aca="false">((X20+Y20)/2)-20</f>
        <v>183.5</v>
      </c>
      <c r="AA20" s="14" t="n">
        <f aca="false">Z20/F20</f>
        <v>2.26543209876543</v>
      </c>
      <c r="AB20" s="1" t="n">
        <f aca="false">(AA20/0.034)-W20</f>
        <v>63.6165577342048</v>
      </c>
      <c r="AC20" s="14" t="n">
        <f aca="false">(K20-W20)/K20</f>
        <v>0.019356460532931</v>
      </c>
      <c r="AD20" s="14" t="n">
        <f aca="false">(P20-AB20)/P20</f>
        <v>0.0186862427304797</v>
      </c>
    </row>
    <row r="21" customFormat="false" ht="16.4" hidden="false" customHeight="false" outlineLevel="0" collapsed="false">
      <c r="B21" s="9" t="s">
        <v>106</v>
      </c>
      <c r="C21" s="10" t="s">
        <v>46</v>
      </c>
      <c r="D21" s="10" t="n">
        <v>9</v>
      </c>
      <c r="E21" s="0" t="n">
        <v>492</v>
      </c>
      <c r="F21" s="0" t="n">
        <v>81</v>
      </c>
      <c r="J21" s="14"/>
      <c r="K21" s="1"/>
      <c r="L21" s="0" t="n">
        <v>426</v>
      </c>
      <c r="M21" s="0" t="n">
        <v>433</v>
      </c>
      <c r="N21" s="14" t="n">
        <f aca="false">((L21+M21)/2)-20</f>
        <v>409.5</v>
      </c>
      <c r="O21" s="14" t="n">
        <f aca="false">N21/F21</f>
        <v>5.05555555555556</v>
      </c>
      <c r="P21" s="1" t="n">
        <f aca="false">(O21/0.09)-K21</f>
        <v>56.1728395061728</v>
      </c>
      <c r="R21" s="0" t="n">
        <v>244</v>
      </c>
      <c r="V21" s="14"/>
      <c r="W21" s="1"/>
      <c r="AB21" s="1"/>
      <c r="AC21" s="14"/>
      <c r="AD21" s="14"/>
    </row>
    <row r="22" customFormat="false" ht="31.3" hidden="false" customHeight="false" outlineLevel="0" collapsed="false">
      <c r="B22" s="9" t="s">
        <v>107</v>
      </c>
      <c r="C22" s="10" t="s">
        <v>48</v>
      </c>
      <c r="D22" s="10" t="n">
        <v>10</v>
      </c>
      <c r="E22" s="0" t="n">
        <v>444</v>
      </c>
      <c r="F22" s="0" t="n">
        <v>81</v>
      </c>
      <c r="G22" s="0" t="n">
        <v>207</v>
      </c>
      <c r="H22" s="0" t="n">
        <v>195</v>
      </c>
      <c r="I22" s="15" t="n">
        <f aca="false">((G22+H22)/2)-20</f>
        <v>181</v>
      </c>
      <c r="J22" s="14" t="n">
        <f aca="false">I22/F22</f>
        <v>2.23456790123457</v>
      </c>
      <c r="K22" s="1" t="n">
        <f aca="false">J22/0.94</f>
        <v>2.37719989493039</v>
      </c>
      <c r="L22" s="0" t="n">
        <v>379</v>
      </c>
      <c r="M22" s="0" t="n">
        <v>371</v>
      </c>
      <c r="N22" s="14" t="n">
        <f aca="false">((L22+M22)/2)-20</f>
        <v>355</v>
      </c>
      <c r="O22" s="14" t="n">
        <f aca="false">N22/F22</f>
        <v>4.38271604938272</v>
      </c>
      <c r="P22" s="1" t="n">
        <f aca="false">(O22/0.09)-K22</f>
        <v>46.3196450982109</v>
      </c>
      <c r="R22" s="0" t="n">
        <v>279</v>
      </c>
      <c r="S22" s="14" t="n">
        <v>84</v>
      </c>
      <c r="T22" s="14" t="n">
        <v>85</v>
      </c>
      <c r="U22" s="15" t="n">
        <f aca="false">((S22+T22)/2)-20</f>
        <v>64.5</v>
      </c>
      <c r="V22" s="14" t="n">
        <f aca="false">U22/F22</f>
        <v>0.796296296296296</v>
      </c>
      <c r="W22" s="1" t="n">
        <f aca="false">V22/0.34</f>
        <v>2.34204793028322</v>
      </c>
      <c r="X22" s="0" t="n">
        <v>152</v>
      </c>
      <c r="Y22" s="0" t="n">
        <v>148</v>
      </c>
      <c r="Z22" s="14" t="n">
        <f aca="false">((X22+Y22)/2)-20</f>
        <v>130</v>
      </c>
      <c r="AA22" s="14" t="n">
        <f aca="false">Z22/F22</f>
        <v>1.60493827160494</v>
      </c>
      <c r="AB22" s="1" t="n">
        <f aca="false">(AA22/0.034)-W22</f>
        <v>44.8620188816267</v>
      </c>
      <c r="AC22" s="14" t="n">
        <f aca="false">(K22-W22)/K22</f>
        <v>0.0147871303217421</v>
      </c>
      <c r="AD22" s="14" t="n">
        <f aca="false">(P22-AB22)/P22</f>
        <v>0.0314688554606494</v>
      </c>
    </row>
    <row r="23" customFormat="false" ht="31.3" hidden="false" customHeight="false" outlineLevel="0" collapsed="false">
      <c r="B23" s="9" t="s">
        <v>108</v>
      </c>
      <c r="C23" s="10" t="s">
        <v>50</v>
      </c>
      <c r="D23" s="10" t="n">
        <v>4</v>
      </c>
      <c r="E23" s="0" t="n">
        <v>372</v>
      </c>
      <c r="F23" s="0" t="n">
        <v>81</v>
      </c>
      <c r="G23" s="0" t="n">
        <v>342</v>
      </c>
      <c r="H23" s="0" t="n">
        <v>337</v>
      </c>
      <c r="I23" s="15" t="n">
        <f aca="false">((G23+H23)/2)-20</f>
        <v>319.5</v>
      </c>
      <c r="J23" s="14" t="n">
        <f aca="false">I23/F23</f>
        <v>3.94444444444444</v>
      </c>
      <c r="K23" s="1" t="n">
        <f aca="false">J23/0.94</f>
        <v>4.19621749408984</v>
      </c>
      <c r="L23" s="0" t="n">
        <v>672</v>
      </c>
      <c r="M23" s="0" t="n">
        <v>677</v>
      </c>
      <c r="N23" s="14" t="n">
        <f aca="false">((L23+M23)/2)-20</f>
        <v>654.5</v>
      </c>
      <c r="O23" s="14" t="n">
        <f aca="false">N23/F23</f>
        <v>8.08024691358025</v>
      </c>
      <c r="P23" s="1" t="n">
        <f aca="false">(O23/0.09)-K23</f>
        <v>85.5843037679129</v>
      </c>
      <c r="R23" s="0" t="n">
        <v>270</v>
      </c>
      <c r="S23" s="14" t="n">
        <v>135</v>
      </c>
      <c r="T23" s="14" t="n">
        <v>131</v>
      </c>
      <c r="U23" s="15" t="n">
        <f aca="false">((S23+T23)/2)-20</f>
        <v>113</v>
      </c>
      <c r="V23" s="14" t="n">
        <f aca="false">U23/F23</f>
        <v>1.39506172839506</v>
      </c>
      <c r="W23" s="1" t="n">
        <f aca="false">V23/0.34</f>
        <v>4.10312273057371</v>
      </c>
      <c r="X23" s="0" t="n">
        <v>245</v>
      </c>
      <c r="Y23" s="0" t="n">
        <v>261</v>
      </c>
      <c r="Z23" s="14" t="n">
        <f aca="false">((X23+Y23)/2)-20</f>
        <v>233</v>
      </c>
      <c r="AA23" s="14" t="n">
        <f aca="false">Z23/F23</f>
        <v>2.87654320987654</v>
      </c>
      <c r="AB23" s="1" t="n">
        <f aca="false">(AA23/0.034)-W23</f>
        <v>80.5010893246187</v>
      </c>
      <c r="AC23" s="14" t="n">
        <f aca="false">(K23-W23)/K23</f>
        <v>0.022185399981589</v>
      </c>
      <c r="AD23" s="14" t="n">
        <f aca="false">(P23-AB23)/P23</f>
        <v>0.0593942372549858</v>
      </c>
    </row>
    <row r="24" customFormat="false" ht="16.4" hidden="false" customHeight="false" outlineLevel="0" collapsed="false">
      <c r="B24" s="9" t="s">
        <v>109</v>
      </c>
      <c r="C24" s="10" t="s">
        <v>23</v>
      </c>
      <c r="D24" s="10" t="n">
        <v>10</v>
      </c>
      <c r="E24" s="16" t="n">
        <v>480</v>
      </c>
      <c r="F24" s="0" t="n">
        <v>81</v>
      </c>
      <c r="J24" s="14"/>
      <c r="K24" s="1"/>
      <c r="P24" s="1"/>
      <c r="R24" s="0" t="n">
        <v>276</v>
      </c>
      <c r="V24" s="14"/>
      <c r="W24" s="1"/>
      <c r="AB24" s="1"/>
      <c r="AC24" s="14"/>
      <c r="AD24" s="14"/>
    </row>
    <row r="25" customFormat="false" ht="31.3" hidden="false" customHeight="false" outlineLevel="0" collapsed="false">
      <c r="B25" s="9" t="s">
        <v>110</v>
      </c>
      <c r="C25" s="10" t="s">
        <v>21</v>
      </c>
      <c r="D25" s="10" t="n">
        <v>7</v>
      </c>
      <c r="E25" s="15" t="n">
        <v>249</v>
      </c>
      <c r="F25" s="15" t="n">
        <v>90</v>
      </c>
      <c r="G25" s="15" t="n">
        <v>373</v>
      </c>
      <c r="H25" s="15" t="n">
        <v>372</v>
      </c>
      <c r="I25" s="15" t="n">
        <f aca="false">((G25+H25)/2)-20</f>
        <v>352.5</v>
      </c>
      <c r="J25" s="14" t="n">
        <f aca="false">I25/F25</f>
        <v>3.91666666666667</v>
      </c>
      <c r="K25" s="1" t="n">
        <f aca="false">J25/0.94</f>
        <v>4.16666666666667</v>
      </c>
      <c r="L25" s="15" t="n">
        <v>409</v>
      </c>
      <c r="M25" s="15" t="n">
        <v>419</v>
      </c>
      <c r="N25" s="14" t="n">
        <f aca="false">((L25+M25)/2)-20</f>
        <v>394</v>
      </c>
      <c r="O25" s="14" t="n">
        <f aca="false">N25/F25</f>
        <v>4.37777777777778</v>
      </c>
      <c r="P25" s="1" t="n">
        <f aca="false">(O25/0.09)-K25</f>
        <v>44.4753086419753</v>
      </c>
      <c r="R25" s="0" t="n">
        <v>256</v>
      </c>
      <c r="S25" s="15" t="n">
        <v>144</v>
      </c>
      <c r="T25" s="15" t="n">
        <v>148</v>
      </c>
      <c r="U25" s="15" t="n">
        <f aca="false">((S25+T25)/2)-20</f>
        <v>126</v>
      </c>
      <c r="V25" s="14" t="n">
        <f aca="false">U25/F25</f>
        <v>1.4</v>
      </c>
      <c r="W25" s="1" t="n">
        <f aca="false">V25/0.34</f>
        <v>4.11764705882353</v>
      </c>
      <c r="X25" s="15" t="n">
        <v>162</v>
      </c>
      <c r="Y25" s="15" t="n">
        <v>165</v>
      </c>
      <c r="Z25" s="14" t="n">
        <f aca="false">((X25+Y25)/2)-20</f>
        <v>143.5</v>
      </c>
      <c r="AA25" s="14" t="n">
        <f aca="false">Z25/F25</f>
        <v>1.59444444444444</v>
      </c>
      <c r="AB25" s="1" t="n">
        <f aca="false">(AA25/0.034)-W25</f>
        <v>42.7777777777778</v>
      </c>
      <c r="AC25" s="14" t="n">
        <f aca="false">(K25-W25)/K25</f>
        <v>0.0117647058823531</v>
      </c>
      <c r="AD25" s="14" t="n">
        <f aca="false">(P25-AB25)/P25</f>
        <v>0.0381679389312979</v>
      </c>
    </row>
    <row r="26" customFormat="false" ht="31.3" hidden="false" customHeight="false" outlineLevel="0" collapsed="false">
      <c r="B26" s="9" t="s">
        <v>111</v>
      </c>
      <c r="C26" s="10" t="s">
        <v>23</v>
      </c>
      <c r="D26" s="10" t="n">
        <v>8</v>
      </c>
      <c r="E26" s="15" t="n">
        <v>387</v>
      </c>
      <c r="F26" s="15" t="n">
        <v>90</v>
      </c>
      <c r="G26" s="15" t="n">
        <v>285</v>
      </c>
      <c r="H26" s="15" t="n">
        <v>283</v>
      </c>
      <c r="I26" s="15" t="n">
        <f aca="false">((G26+H26)/2)-20</f>
        <v>264</v>
      </c>
      <c r="J26" s="14" t="n">
        <f aca="false">I26/F26</f>
        <v>2.93333333333333</v>
      </c>
      <c r="K26" s="1" t="n">
        <f aca="false">J26/0.94</f>
        <v>3.12056737588653</v>
      </c>
      <c r="L26" s="15" t="n">
        <v>237</v>
      </c>
      <c r="M26" s="15" t="n">
        <v>235</v>
      </c>
      <c r="N26" s="14" t="n">
        <f aca="false">((L26+M26)/2)-20</f>
        <v>216</v>
      </c>
      <c r="O26" s="14" t="n">
        <f aca="false">N26/F26</f>
        <v>2.4</v>
      </c>
      <c r="P26" s="1" t="n">
        <f aca="false">(O26/0.09)-K26</f>
        <v>23.5460992907801</v>
      </c>
      <c r="R26" s="0" t="n">
        <v>232</v>
      </c>
      <c r="S26" s="15" t="n">
        <v>119</v>
      </c>
      <c r="T26" s="15" t="n">
        <v>110</v>
      </c>
      <c r="U26" s="15" t="n">
        <f aca="false">((S26+T26)/2)-20</f>
        <v>94.5</v>
      </c>
      <c r="V26" s="14" t="n">
        <f aca="false">U26/F26</f>
        <v>1.05</v>
      </c>
      <c r="W26" s="1" t="n">
        <f aca="false">V26/0.34</f>
        <v>3.08823529411765</v>
      </c>
      <c r="X26" s="15" t="n">
        <v>98</v>
      </c>
      <c r="Y26" s="15" t="n">
        <v>98</v>
      </c>
      <c r="Z26" s="14" t="n">
        <f aca="false">((X26+Y26)/2)-20</f>
        <v>78</v>
      </c>
      <c r="AA26" s="14" t="n">
        <f aca="false">Z26/F26</f>
        <v>0.866666666666667</v>
      </c>
      <c r="AB26" s="1" t="n">
        <f aca="false">(AA26/0.034)-W26</f>
        <v>22.4019607843137</v>
      </c>
      <c r="AC26" s="14" t="n">
        <f aca="false">(K26-W26)/K26</f>
        <v>0.0103609625668449</v>
      </c>
      <c r="AD26" s="14" t="n">
        <f aca="false">(P26-AB26)/P26</f>
        <v>0.048591424521616</v>
      </c>
    </row>
    <row r="27" customFormat="false" ht="16.4" hidden="false" customHeight="false" outlineLevel="0" collapsed="false">
      <c r="B27" s="9" t="s">
        <v>112</v>
      </c>
      <c r="C27" s="10" t="s">
        <v>25</v>
      </c>
      <c r="D27" s="10" t="n">
        <v>7</v>
      </c>
      <c r="E27" s="15" t="n">
        <v>349</v>
      </c>
      <c r="F27" s="15" t="n">
        <v>90</v>
      </c>
      <c r="G27" s="15" t="n">
        <v>212</v>
      </c>
      <c r="H27" s="15" t="n">
        <v>210</v>
      </c>
      <c r="I27" s="15" t="n">
        <f aca="false">((G27+H27)/2)-20</f>
        <v>191</v>
      </c>
      <c r="J27" s="14" t="n">
        <f aca="false">I27/F27</f>
        <v>2.12222222222222</v>
      </c>
      <c r="K27" s="1" t="n">
        <f aca="false">J27/0.94</f>
        <v>2.25768321513002</v>
      </c>
      <c r="L27" s="15" t="n">
        <v>270</v>
      </c>
      <c r="M27" s="15" t="n">
        <v>277</v>
      </c>
      <c r="N27" s="14" t="n">
        <f aca="false">((L27+M27)/2)-20</f>
        <v>253.5</v>
      </c>
      <c r="O27" s="14" t="n">
        <f aca="false">N27/F27</f>
        <v>2.81666666666667</v>
      </c>
      <c r="P27" s="1" t="n">
        <f aca="false">(O27/0.09)-K27</f>
        <v>29.0386130811663</v>
      </c>
      <c r="R27" s="0" t="n">
        <v>250</v>
      </c>
      <c r="S27" s="15" t="n">
        <v>88</v>
      </c>
      <c r="T27" s="15" t="n">
        <v>87</v>
      </c>
      <c r="U27" s="15" t="n">
        <f aca="false">((S27+T27)/2)-20</f>
        <v>67.5</v>
      </c>
      <c r="V27" s="14" t="n">
        <f aca="false">U27/F27</f>
        <v>0.75</v>
      </c>
      <c r="W27" s="1" t="n">
        <f aca="false">V27/0.34</f>
        <v>2.20588235294118</v>
      </c>
      <c r="X27" s="15" t="n">
        <v>111</v>
      </c>
      <c r="Y27" s="15" t="n">
        <v>114</v>
      </c>
      <c r="Z27" s="14" t="n">
        <f aca="false">((X27+Y27)/2)-20</f>
        <v>92.5</v>
      </c>
      <c r="AA27" s="14" t="n">
        <f aca="false">Z27/F27</f>
        <v>1.02777777777778</v>
      </c>
      <c r="AB27" s="1" t="n">
        <f aca="false">(AA27/0.034)-W27</f>
        <v>28.0228758169935</v>
      </c>
      <c r="AC27" s="14" t="n">
        <f aca="false">(K27-W27)/K27</f>
        <v>0.0229442562365262</v>
      </c>
      <c r="AD27" s="14" t="n">
        <f aca="false">(P27-AB27)/P27</f>
        <v>0.0349788490701576</v>
      </c>
    </row>
    <row r="28" customFormat="false" ht="31.3" hidden="false" customHeight="false" outlineLevel="0" collapsed="false">
      <c r="B28" s="9" t="s">
        <v>113</v>
      </c>
      <c r="C28" s="10"/>
      <c r="D28" s="10"/>
      <c r="E28" s="15"/>
      <c r="F28" s="15"/>
      <c r="G28" s="15"/>
      <c r="H28" s="15"/>
      <c r="J28" s="14"/>
      <c r="K28" s="1"/>
      <c r="L28" s="15"/>
      <c r="M28" s="15"/>
      <c r="P28" s="1"/>
      <c r="S28" s="15"/>
      <c r="T28" s="15"/>
      <c r="V28" s="14"/>
      <c r="W28" s="1"/>
      <c r="X28" s="15"/>
      <c r="Y28" s="15"/>
      <c r="AB28" s="1"/>
      <c r="AC28" s="14"/>
      <c r="AD28" s="14"/>
    </row>
    <row r="29" customFormat="false" ht="31.3" hidden="false" customHeight="false" outlineLevel="0" collapsed="false">
      <c r="A29" s="0" t="s">
        <v>52</v>
      </c>
      <c r="B29" s="9" t="s">
        <v>114</v>
      </c>
      <c r="C29" s="10" t="s">
        <v>21</v>
      </c>
      <c r="D29" s="10" t="n">
        <v>4</v>
      </c>
      <c r="E29" s="15" t="n">
        <v>345</v>
      </c>
      <c r="F29" s="15" t="n">
        <v>90</v>
      </c>
      <c r="G29" s="15" t="n">
        <v>353</v>
      </c>
      <c r="H29" s="15" t="n">
        <v>345</v>
      </c>
      <c r="I29" s="15" t="n">
        <f aca="false">((G29+H29)/2)-20</f>
        <v>329</v>
      </c>
      <c r="J29" s="14" t="n">
        <f aca="false">I29/F29</f>
        <v>3.65555555555556</v>
      </c>
      <c r="K29" s="1" t="n">
        <f aca="false">J29/0.94</f>
        <v>3.88888888888889</v>
      </c>
      <c r="L29" s="15" t="n">
        <v>303</v>
      </c>
      <c r="M29" s="15" t="n">
        <v>307</v>
      </c>
      <c r="N29" s="14" t="n">
        <f aca="false">((L29+M29)/2)-20</f>
        <v>285</v>
      </c>
      <c r="O29" s="14" t="n">
        <f aca="false">N29/F29</f>
        <v>3.16666666666667</v>
      </c>
      <c r="P29" s="1" t="n">
        <f aca="false">(O29/0.09)-K29</f>
        <v>31.2962962962963</v>
      </c>
      <c r="R29" s="0" t="n">
        <v>238</v>
      </c>
      <c r="S29" s="15" t="n">
        <v>135</v>
      </c>
      <c r="T29" s="15" t="n">
        <v>141</v>
      </c>
      <c r="U29" s="15" t="n">
        <f aca="false">((S29+T29)/2)-20</f>
        <v>118</v>
      </c>
      <c r="V29" s="14" t="n">
        <f aca="false">U29/F29</f>
        <v>1.31111111111111</v>
      </c>
      <c r="W29" s="1" t="n">
        <f aca="false">V29/0.34</f>
        <v>3.8562091503268</v>
      </c>
      <c r="X29" s="15" t="n">
        <v>121</v>
      </c>
      <c r="Y29" s="15" t="n">
        <v>129</v>
      </c>
      <c r="Z29" s="14" t="n">
        <f aca="false">((X29+Y29)/2)-20</f>
        <v>105</v>
      </c>
      <c r="AA29" s="14" t="n">
        <f aca="false">Z29/F29</f>
        <v>1.16666666666667</v>
      </c>
      <c r="AB29" s="1" t="n">
        <f aca="false">(AA29/0.034)-W29</f>
        <v>30.4575163398693</v>
      </c>
      <c r="AC29" s="14" t="n">
        <f aca="false">(K29-W29)/K29</f>
        <v>0.0084033613445379</v>
      </c>
      <c r="AD29" s="14" t="n">
        <f aca="false">(P29-AB29)/P29</f>
        <v>0.0268012530455969</v>
      </c>
    </row>
    <row r="30" customFormat="false" ht="31.3" hidden="false" customHeight="false" outlineLevel="0" collapsed="false">
      <c r="B30" s="9" t="s">
        <v>115</v>
      </c>
      <c r="C30" s="10" t="s">
        <v>21</v>
      </c>
      <c r="D30" s="10" t="n">
        <v>12</v>
      </c>
      <c r="E30" s="15" t="n">
        <v>172</v>
      </c>
      <c r="F30" s="15" t="n">
        <v>90</v>
      </c>
      <c r="G30" s="15" t="n">
        <v>492</v>
      </c>
      <c r="H30" s="15" t="n">
        <v>493</v>
      </c>
      <c r="I30" s="15" t="n">
        <f aca="false">((G30+H30)/2)-20</f>
        <v>472.5</v>
      </c>
      <c r="J30" s="14" t="n">
        <f aca="false">I30/F30</f>
        <v>5.25</v>
      </c>
      <c r="K30" s="1" t="n">
        <f aca="false">J30/0.94</f>
        <v>5.58510638297872</v>
      </c>
      <c r="L30" s="15" t="n">
        <v>216</v>
      </c>
      <c r="M30" s="15" t="n">
        <v>214</v>
      </c>
      <c r="N30" s="14" t="n">
        <f aca="false">((L30+M30)/2)-20</f>
        <v>195</v>
      </c>
      <c r="O30" s="14" t="n">
        <f aca="false">N30/F30</f>
        <v>2.16666666666667</v>
      </c>
      <c r="P30" s="1" t="n">
        <f aca="false">(O30/0.09)-K30</f>
        <v>18.4889676910953</v>
      </c>
      <c r="R30" s="0" t="n">
        <v>241</v>
      </c>
      <c r="S30" s="15" t="n">
        <v>180</v>
      </c>
      <c r="T30" s="15" t="n">
        <v>198</v>
      </c>
      <c r="U30" s="15" t="n">
        <f aca="false">((S30+T30)/2)-20</f>
        <v>169</v>
      </c>
      <c r="V30" s="14" t="n">
        <f aca="false">U30/F30</f>
        <v>1.87777777777778</v>
      </c>
      <c r="W30" s="1" t="n">
        <f aca="false">V30/0.34</f>
        <v>5.52287581699346</v>
      </c>
      <c r="X30" s="15" t="n">
        <v>85</v>
      </c>
      <c r="Y30" s="15" t="n">
        <v>96</v>
      </c>
      <c r="Z30" s="14" t="n">
        <f aca="false">((X30+Y30)/2)-20</f>
        <v>70.5</v>
      </c>
      <c r="AA30" s="14" t="n">
        <f aca="false">Z30/F30</f>
        <v>0.783333333333333</v>
      </c>
      <c r="AB30" s="1" t="n">
        <f aca="false">(AA30/0.034)-W30</f>
        <v>17.516339869281</v>
      </c>
      <c r="AC30" s="14" t="n">
        <f aca="false">(K30-W30)/K30</f>
        <v>0.0111422346716466</v>
      </c>
      <c r="AD30" s="14" t="n">
        <f aca="false">(P30-AB30)/P30</f>
        <v>0.0526058478799082</v>
      </c>
    </row>
    <row r="31" customFormat="false" ht="31.3" hidden="false" customHeight="false" outlineLevel="0" collapsed="false">
      <c r="B31" s="9" t="s">
        <v>116</v>
      </c>
      <c r="C31" s="10" t="s">
        <v>29</v>
      </c>
      <c r="D31" s="10" t="n">
        <v>6</v>
      </c>
      <c r="E31" s="15" t="n">
        <v>457</v>
      </c>
      <c r="F31" s="15" t="n">
        <v>90</v>
      </c>
      <c r="G31" s="15" t="n">
        <v>642</v>
      </c>
      <c r="H31" s="15" t="n">
        <v>679</v>
      </c>
      <c r="I31" s="15" t="n">
        <f aca="false">((G31+H31)/2)-20</f>
        <v>640.5</v>
      </c>
      <c r="J31" s="14" t="n">
        <f aca="false">I31/F31</f>
        <v>7.11666666666667</v>
      </c>
      <c r="K31" s="1" t="n">
        <f aca="false">J31/0.94</f>
        <v>7.5709219858156</v>
      </c>
      <c r="L31" s="15" t="n">
        <v>388</v>
      </c>
      <c r="M31" s="15" t="n">
        <v>383</v>
      </c>
      <c r="N31" s="14" t="n">
        <f aca="false">((L31+M31)/2)-20</f>
        <v>365.5</v>
      </c>
      <c r="O31" s="14" t="n">
        <f aca="false">N31/F31</f>
        <v>4.06111111111111</v>
      </c>
      <c r="P31" s="1" t="n">
        <f aca="false">(O31/0.09)-K31</f>
        <v>37.5525348043079</v>
      </c>
      <c r="R31" s="0" t="n">
        <v>263</v>
      </c>
      <c r="S31" s="15" t="n">
        <v>248</v>
      </c>
      <c r="T31" s="15" t="n">
        <v>241</v>
      </c>
      <c r="U31" s="15" t="n">
        <f aca="false">((S31+T31)/2)-20</f>
        <v>224.5</v>
      </c>
      <c r="V31" s="14" t="n">
        <f aca="false">U31/F31</f>
        <v>2.49444444444444</v>
      </c>
      <c r="W31" s="1" t="n">
        <f aca="false">V31/0.34</f>
        <v>7.33660130718954</v>
      </c>
      <c r="X31" s="15" t="n">
        <v>149</v>
      </c>
      <c r="Y31" s="15" t="n">
        <v>151</v>
      </c>
      <c r="Z31" s="14" t="n">
        <f aca="false">((X31+Y31)/2)-20</f>
        <v>130</v>
      </c>
      <c r="AA31" s="14" t="n">
        <f aca="false">Z31/F31</f>
        <v>1.44444444444444</v>
      </c>
      <c r="AB31" s="1" t="n">
        <f aca="false">(AA31/0.034)-W31</f>
        <v>35.1470588235294</v>
      </c>
      <c r="AC31" s="14" t="n">
        <f aca="false">(K31-W31)/K31</f>
        <v>0.0309500849520136</v>
      </c>
      <c r="AD31" s="14" t="n">
        <f aca="false">(P31-AB31)/P31</f>
        <v>0.0640562878994388</v>
      </c>
    </row>
    <row r="32" customFormat="false" ht="31.3" hidden="false" customHeight="false" outlineLevel="0" collapsed="false">
      <c r="B32" s="9" t="s">
        <v>117</v>
      </c>
      <c r="C32" s="10" t="s">
        <v>23</v>
      </c>
      <c r="D32" s="10" t="n">
        <v>2</v>
      </c>
      <c r="E32" s="15" t="n">
        <v>50</v>
      </c>
      <c r="F32" s="15" t="n">
        <v>90</v>
      </c>
      <c r="G32" s="15" t="n">
        <v>205</v>
      </c>
      <c r="H32" s="15" t="n">
        <v>208</v>
      </c>
      <c r="I32" s="15" t="n">
        <f aca="false">((G32+H32)/2)-20</f>
        <v>186.5</v>
      </c>
      <c r="J32" s="14" t="n">
        <f aca="false">I32/F32</f>
        <v>2.07222222222222</v>
      </c>
      <c r="K32" s="1" t="n">
        <f aca="false">J32/0.94</f>
        <v>2.20449172576832</v>
      </c>
      <c r="L32" s="15" t="n">
        <v>239</v>
      </c>
      <c r="M32" s="15" t="n">
        <v>253</v>
      </c>
      <c r="N32" s="14" t="n">
        <f aca="false">((L32+M32)/2)-20</f>
        <v>226</v>
      </c>
      <c r="O32" s="14" t="n">
        <f aca="false">N32/F32</f>
        <v>2.51111111111111</v>
      </c>
      <c r="P32" s="1" t="n">
        <f aca="false">(O32/0.09)-K32</f>
        <v>25.6967428421329</v>
      </c>
      <c r="R32" s="0" t="n">
        <v>253</v>
      </c>
      <c r="S32" s="15" t="n">
        <v>82</v>
      </c>
      <c r="T32" s="15" t="n">
        <v>91</v>
      </c>
      <c r="U32" s="15" t="n">
        <f aca="false">((S32+T32)/2)-20</f>
        <v>66.5</v>
      </c>
      <c r="V32" s="14" t="n">
        <f aca="false">U32/F32</f>
        <v>0.738888888888889</v>
      </c>
      <c r="W32" s="1" t="n">
        <f aca="false">V32/0.34</f>
        <v>2.17320261437909</v>
      </c>
      <c r="X32" s="15" t="n">
        <v>101</v>
      </c>
      <c r="Y32" s="15" t="n">
        <v>102</v>
      </c>
      <c r="Z32" s="14" t="n">
        <f aca="false">((X32+Y32)/2)-20</f>
        <v>81.5</v>
      </c>
      <c r="AA32" s="14" t="n">
        <f aca="false">Z32/F32</f>
        <v>0.905555555555556</v>
      </c>
      <c r="AB32" s="1" t="n">
        <f aca="false">(AA32/0.034)-W32</f>
        <v>24.4607843137255</v>
      </c>
      <c r="AC32" s="14" t="n">
        <f aca="false">(K32-W32)/K32</f>
        <v>0.0141933448982813</v>
      </c>
      <c r="AD32" s="14" t="n">
        <f aca="false">(P32-AB32)/P32</f>
        <v>0.0480978673445307</v>
      </c>
    </row>
    <row r="33" customFormat="false" ht="31.3" hidden="false" customHeight="false" outlineLevel="0" collapsed="false">
      <c r="B33" s="9" t="s">
        <v>118</v>
      </c>
      <c r="C33" s="10" t="s">
        <v>23</v>
      </c>
      <c r="D33" s="10" t="n">
        <v>2</v>
      </c>
      <c r="E33" s="15" t="n">
        <v>276</v>
      </c>
      <c r="F33" s="15" t="n">
        <v>90</v>
      </c>
      <c r="G33" s="15" t="n">
        <v>272</v>
      </c>
      <c r="H33" s="15" t="n">
        <v>266</v>
      </c>
      <c r="I33" s="15" t="n">
        <f aca="false">((G33+H33)/2)-20</f>
        <v>249</v>
      </c>
      <c r="J33" s="14" t="n">
        <f aca="false">I33/F33</f>
        <v>2.76666666666667</v>
      </c>
      <c r="K33" s="1" t="n">
        <f aca="false">J33/0.94</f>
        <v>2.94326241134752</v>
      </c>
      <c r="L33" s="15" t="n">
        <v>380</v>
      </c>
      <c r="M33" s="15" t="n">
        <v>370</v>
      </c>
      <c r="N33" s="14" t="n">
        <f aca="false">((L33+M33)/2)-20</f>
        <v>355</v>
      </c>
      <c r="O33" s="14" t="n">
        <f aca="false">N33/F33</f>
        <v>3.94444444444444</v>
      </c>
      <c r="P33" s="1" t="n">
        <f aca="false">(O33/0.09)-K33</f>
        <v>40.8838980824797</v>
      </c>
      <c r="R33" s="0" t="n">
        <v>251</v>
      </c>
      <c r="S33" s="15" t="n">
        <v>105</v>
      </c>
      <c r="T33" s="15" t="n">
        <v>112</v>
      </c>
      <c r="U33" s="15" t="n">
        <f aca="false">((S33+T33)/2)-20</f>
        <v>88.5</v>
      </c>
      <c r="V33" s="14" t="n">
        <f aca="false">U33/F33</f>
        <v>0.983333333333333</v>
      </c>
      <c r="W33" s="1" t="n">
        <f aca="false">V33/0.34</f>
        <v>2.8921568627451</v>
      </c>
      <c r="X33" s="15" t="n">
        <v>148</v>
      </c>
      <c r="Y33" s="15" t="n">
        <v>154</v>
      </c>
      <c r="Z33" s="14" t="n">
        <f aca="false">((X33+Y33)/2)-20</f>
        <v>131</v>
      </c>
      <c r="AA33" s="14" t="n">
        <f aca="false">Z33/F33</f>
        <v>1.45555555555556</v>
      </c>
      <c r="AB33" s="1" t="n">
        <f aca="false">(AA33/0.034)-W33</f>
        <v>39.9183006535948</v>
      </c>
      <c r="AC33" s="14" t="n">
        <f aca="false">(K33-W33)/K33</f>
        <v>0.0173635719347982</v>
      </c>
      <c r="AD33" s="14" t="n">
        <f aca="false">(P33-AB33)/P33</f>
        <v>0.0236180372756255</v>
      </c>
    </row>
    <row r="34" customFormat="false" ht="31.3" hidden="false" customHeight="false" outlineLevel="0" collapsed="false">
      <c r="B34" s="9" t="s">
        <v>119</v>
      </c>
      <c r="C34" s="10" t="s">
        <v>25</v>
      </c>
      <c r="D34" s="10" t="n">
        <v>6</v>
      </c>
      <c r="E34" s="15" t="n">
        <v>405</v>
      </c>
      <c r="F34" s="15" t="n">
        <v>90</v>
      </c>
      <c r="G34" s="15" t="n">
        <v>175</v>
      </c>
      <c r="H34" s="15" t="n">
        <v>174</v>
      </c>
      <c r="I34" s="15" t="n">
        <f aca="false">((G34+H34)/2)-20</f>
        <v>154.5</v>
      </c>
      <c r="J34" s="14" t="n">
        <f aca="false">I34/F34</f>
        <v>1.71666666666667</v>
      </c>
      <c r="K34" s="1" t="n">
        <f aca="false">J34/0.94</f>
        <v>1.82624113475177</v>
      </c>
      <c r="L34" s="15" t="n">
        <v>302</v>
      </c>
      <c r="M34" s="15" t="n">
        <v>312</v>
      </c>
      <c r="N34" s="14" t="n">
        <f aca="false">((L34+M34)/2)-20</f>
        <v>287</v>
      </c>
      <c r="O34" s="14" t="n">
        <f aca="false">N34/F34</f>
        <v>3.18888888888889</v>
      </c>
      <c r="P34" s="1" t="n">
        <f aca="false">(O34/0.09)-K34</f>
        <v>33.6058576306803</v>
      </c>
      <c r="R34" s="0" t="n">
        <v>235</v>
      </c>
      <c r="S34" s="15" t="n">
        <v>74</v>
      </c>
      <c r="T34" s="15" t="n">
        <v>74</v>
      </c>
      <c r="U34" s="15" t="n">
        <f aca="false">((S34+T34)/2)-20</f>
        <v>54</v>
      </c>
      <c r="V34" s="14" t="n">
        <f aca="false">U34/F34</f>
        <v>0.6</v>
      </c>
      <c r="W34" s="1" t="n">
        <f aca="false">V34/0.34</f>
        <v>1.76470588235294</v>
      </c>
      <c r="X34" s="15" t="n">
        <v>122</v>
      </c>
      <c r="Y34" s="15" t="n">
        <v>126</v>
      </c>
      <c r="Z34" s="14" t="n">
        <f aca="false">((X34+Y34)/2)-20</f>
        <v>104</v>
      </c>
      <c r="AA34" s="14" t="n">
        <f aca="false">Z34/F34</f>
        <v>1.15555555555556</v>
      </c>
      <c r="AB34" s="1" t="n">
        <f aca="false">(AA34/0.034)-W34</f>
        <v>32.2222222222222</v>
      </c>
      <c r="AC34" s="14" t="n">
        <f aca="false">(K34-W34)/K34</f>
        <v>0.0336950314106227</v>
      </c>
      <c r="AD34" s="14" t="n">
        <f aca="false">(P34-AB34)/P34</f>
        <v>0.0411724474841234</v>
      </c>
    </row>
    <row r="35" customFormat="false" ht="31.3" hidden="false" customHeight="false" outlineLevel="0" collapsed="false">
      <c r="B35" s="9" t="s">
        <v>120</v>
      </c>
      <c r="C35" s="10" t="s">
        <v>21</v>
      </c>
      <c r="D35" s="10" t="n">
        <v>4</v>
      </c>
      <c r="E35" s="15" t="n">
        <v>363</v>
      </c>
      <c r="F35" s="15" t="n">
        <v>90</v>
      </c>
      <c r="G35" s="15" t="n">
        <v>301</v>
      </c>
      <c r="H35" s="15" t="n">
        <v>311</v>
      </c>
      <c r="I35" s="15" t="n">
        <f aca="false">((G35+H35)/2)-20</f>
        <v>286</v>
      </c>
      <c r="J35" s="14" t="n">
        <f aca="false">I35/F35</f>
        <v>3.17777777777778</v>
      </c>
      <c r="K35" s="1" t="n">
        <f aca="false">J35/0.94</f>
        <v>3.3806146572104</v>
      </c>
      <c r="L35" s="15" t="n">
        <v>377</v>
      </c>
      <c r="M35" s="15" t="n">
        <v>358</v>
      </c>
      <c r="N35" s="14" t="n">
        <f aca="false">((L35+M35)/2)-20</f>
        <v>347.5</v>
      </c>
      <c r="O35" s="14" t="n">
        <f aca="false">N35/F35</f>
        <v>3.86111111111111</v>
      </c>
      <c r="P35" s="1" t="n">
        <f aca="false">(O35/0.09)-K35</f>
        <v>39.5206199106908</v>
      </c>
      <c r="R35" s="0" t="n">
        <v>264</v>
      </c>
      <c r="S35" s="15" t="n">
        <v>125</v>
      </c>
      <c r="T35" s="15" t="n">
        <v>117</v>
      </c>
      <c r="U35" s="15" t="n">
        <f aca="false">((S35+T35)/2)-20</f>
        <v>101</v>
      </c>
      <c r="V35" s="14" t="n">
        <f aca="false">U35/F35</f>
        <v>1.12222222222222</v>
      </c>
      <c r="W35" s="1" t="n">
        <f aca="false">V35/0.34</f>
        <v>3.30065359477124</v>
      </c>
      <c r="X35" s="15" t="n">
        <v>149</v>
      </c>
      <c r="Y35" s="15" t="n">
        <v>142</v>
      </c>
      <c r="Z35" s="14" t="n">
        <f aca="false">((X35+Y35)/2)-20</f>
        <v>125.5</v>
      </c>
      <c r="AA35" s="14" t="n">
        <f aca="false">Z35/F35</f>
        <v>1.39444444444444</v>
      </c>
      <c r="AB35" s="1" t="n">
        <f aca="false">(AA35/0.034)-W35</f>
        <v>37.7124183006536</v>
      </c>
      <c r="AC35" s="14" t="n">
        <f aca="false">(K35-W35)/K35</f>
        <v>0.0236528177704648</v>
      </c>
      <c r="AD35" s="14" t="n">
        <f aca="false">(P35-AB35)/P35</f>
        <v>0.0457533716354511</v>
      </c>
    </row>
    <row r="36" customFormat="false" ht="16.4" hidden="false" customHeight="false" outlineLevel="0" collapsed="false">
      <c r="B36" s="9" t="s">
        <v>121</v>
      </c>
      <c r="C36" s="10" t="s">
        <v>23</v>
      </c>
      <c r="D36" s="10" t="n">
        <v>3</v>
      </c>
      <c r="E36" s="15" t="n">
        <v>253</v>
      </c>
      <c r="F36" s="15" t="n">
        <v>90</v>
      </c>
      <c r="G36" s="15" t="n">
        <v>393</v>
      </c>
      <c r="H36" s="15" t="n">
        <v>385</v>
      </c>
      <c r="I36" s="15" t="n">
        <f aca="false">((G36+H36)/2)-20</f>
        <v>369</v>
      </c>
      <c r="J36" s="14" t="n">
        <f aca="false">I36/F36</f>
        <v>4.1</v>
      </c>
      <c r="K36" s="1" t="n">
        <f aca="false">J36/0.94</f>
        <v>4.36170212765958</v>
      </c>
      <c r="L36" s="15" t="n">
        <v>587</v>
      </c>
      <c r="M36" s="15" t="n">
        <v>549</v>
      </c>
      <c r="N36" s="14" t="n">
        <f aca="false">((L36+M36)/2)-20</f>
        <v>548</v>
      </c>
      <c r="O36" s="14" t="n">
        <f aca="false">N36/F36</f>
        <v>6.08888888888889</v>
      </c>
      <c r="P36" s="1" t="n">
        <f aca="false">(O36/0.09)-K36</f>
        <v>63.2926188599947</v>
      </c>
      <c r="R36" s="0" t="n">
        <v>258</v>
      </c>
      <c r="S36" s="15" t="n">
        <v>147</v>
      </c>
      <c r="T36" s="15" t="n">
        <v>155</v>
      </c>
      <c r="U36" s="15" t="n">
        <f aca="false">((S36+T36)/2)-20</f>
        <v>131</v>
      </c>
      <c r="V36" s="14" t="n">
        <f aca="false">U36/F36</f>
        <v>1.45555555555556</v>
      </c>
      <c r="W36" s="1" t="n">
        <f aca="false">V36/0.34</f>
        <v>4.28104575163399</v>
      </c>
      <c r="X36" s="15" t="n">
        <v>221</v>
      </c>
      <c r="Y36" s="15" t="n">
        <v>216</v>
      </c>
      <c r="Z36" s="14" t="n">
        <f aca="false">((X36+Y36)/2)-20</f>
        <v>198.5</v>
      </c>
      <c r="AA36" s="14" t="n">
        <f aca="false">Z36/F36</f>
        <v>2.20555555555556</v>
      </c>
      <c r="AB36" s="1" t="n">
        <f aca="false">(AA36/0.034)-W36</f>
        <v>60.5882352941176</v>
      </c>
      <c r="AC36" s="14" t="n">
        <f aca="false">(K36-W36)/K36</f>
        <v>0.0184919496253787</v>
      </c>
      <c r="AD36" s="14" t="n">
        <f aca="false">(P36-AB36)/P36</f>
        <v>0.0427282614400784</v>
      </c>
    </row>
    <row r="37" customFormat="false" ht="31.3" hidden="false" customHeight="false" outlineLevel="0" collapsed="false">
      <c r="B37" s="9" t="s">
        <v>122</v>
      </c>
      <c r="C37" s="10" t="s">
        <v>23</v>
      </c>
      <c r="D37" s="10" t="n">
        <v>8</v>
      </c>
      <c r="E37" s="15" t="n">
        <v>76</v>
      </c>
      <c r="F37" s="15" t="n">
        <v>90</v>
      </c>
      <c r="G37" s="15" t="n">
        <v>313</v>
      </c>
      <c r="H37" s="15" t="n">
        <v>312</v>
      </c>
      <c r="I37" s="15" t="n">
        <f aca="false">((G37+H37)/2)-20</f>
        <v>292.5</v>
      </c>
      <c r="J37" s="14" t="n">
        <f aca="false">I37/F37</f>
        <v>3.25</v>
      </c>
      <c r="K37" s="1" t="n">
        <f aca="false">J37/0.94</f>
        <v>3.45744680851064</v>
      </c>
      <c r="L37" s="15" t="n">
        <v>154</v>
      </c>
      <c r="M37" s="15" t="n">
        <v>169</v>
      </c>
      <c r="N37" s="14" t="n">
        <f aca="false">((L37+M37)/2)-20</f>
        <v>141.5</v>
      </c>
      <c r="O37" s="14" t="n">
        <f aca="false">N37/F37</f>
        <v>1.57222222222222</v>
      </c>
      <c r="P37" s="1" t="n">
        <f aca="false">(O37/0.09)-K37</f>
        <v>14.0116889939585</v>
      </c>
      <c r="R37" s="0" t="n">
        <v>243</v>
      </c>
      <c r="S37" s="15" t="n">
        <v>121</v>
      </c>
      <c r="T37" s="15" t="n">
        <v>129</v>
      </c>
      <c r="U37" s="15" t="n">
        <f aca="false">((S37+T37)/2)-20</f>
        <v>105</v>
      </c>
      <c r="V37" s="14" t="n">
        <f aca="false">U37/F37</f>
        <v>1.16666666666667</v>
      </c>
      <c r="W37" s="1" t="n">
        <f aca="false">V37/0.34</f>
        <v>3.43137254901961</v>
      </c>
      <c r="X37" s="15" t="n">
        <v>65</v>
      </c>
      <c r="Y37" s="15" t="n">
        <v>78</v>
      </c>
      <c r="Z37" s="14" t="n">
        <f aca="false">((X37+Y37)/2)-20</f>
        <v>51.5</v>
      </c>
      <c r="AA37" s="14" t="n">
        <f aca="false">Z37/F37</f>
        <v>0.572222222222222</v>
      </c>
      <c r="AB37" s="1" t="n">
        <f aca="false">(AA37/0.034)-W37</f>
        <v>13.3986928104575</v>
      </c>
      <c r="AC37" s="14" t="n">
        <f aca="false">(K37-W37)/K37</f>
        <v>0.00754147812971353</v>
      </c>
      <c r="AD37" s="14" t="n">
        <f aca="false">(P37-AB37)/P37</f>
        <v>0.0437489144788536</v>
      </c>
    </row>
    <row r="38" customFormat="false" ht="31.3" hidden="false" customHeight="false" outlineLevel="0" collapsed="false">
      <c r="B38" s="9" t="s">
        <v>123</v>
      </c>
      <c r="C38" s="10" t="s">
        <v>21</v>
      </c>
      <c r="D38" s="10" t="n">
        <v>9</v>
      </c>
      <c r="E38" s="15" t="n">
        <v>399</v>
      </c>
      <c r="F38" s="15" t="n">
        <v>90</v>
      </c>
      <c r="G38" s="15" t="n">
        <v>756</v>
      </c>
      <c r="H38" s="15" t="n">
        <v>736</v>
      </c>
      <c r="I38" s="15" t="n">
        <f aca="false">((G38+H38)/2)-20</f>
        <v>726</v>
      </c>
      <c r="J38" s="14" t="n">
        <f aca="false">I38/F38</f>
        <v>8.06666666666667</v>
      </c>
      <c r="K38" s="1" t="n">
        <f aca="false">J38/0.94</f>
        <v>8.58156028368794</v>
      </c>
      <c r="L38" s="15" t="n">
        <v>302</v>
      </c>
      <c r="M38" s="15" t="n">
        <v>305</v>
      </c>
      <c r="N38" s="14" t="n">
        <f aca="false">((L38+M38)/2)-20</f>
        <v>283.5</v>
      </c>
      <c r="O38" s="14" t="n">
        <f aca="false">N38/F38</f>
        <v>3.15</v>
      </c>
      <c r="P38" s="1" t="n">
        <f aca="false">(O38/0.09)-K38</f>
        <v>26.4184397163121</v>
      </c>
      <c r="R38" s="0" t="n">
        <v>247</v>
      </c>
      <c r="S38" s="15" t="n">
        <v>277</v>
      </c>
      <c r="T38" s="15" t="n">
        <v>279</v>
      </c>
      <c r="U38" s="15" t="n">
        <f aca="false">((S38+T38)/2)-20</f>
        <v>258</v>
      </c>
      <c r="V38" s="14" t="n">
        <f aca="false">U38/F38</f>
        <v>2.86666666666667</v>
      </c>
      <c r="W38" s="1" t="n">
        <f aca="false">V38/0.34</f>
        <v>8.43137254901961</v>
      </c>
      <c r="X38" s="15"/>
      <c r="Y38" s="15"/>
      <c r="AB38" s="1"/>
      <c r="AC38" s="14" t="n">
        <f aca="false">(K38-W38)/K38</f>
        <v>0.017501215362178</v>
      </c>
      <c r="AD38" s="14"/>
    </row>
    <row r="39" customFormat="false" ht="31.3" hidden="false" customHeight="false" outlineLevel="0" collapsed="false">
      <c r="B39" s="9" t="s">
        <v>124</v>
      </c>
      <c r="C39" s="10" t="s">
        <v>23</v>
      </c>
      <c r="D39" s="10" t="n">
        <v>7</v>
      </c>
      <c r="E39" s="15" t="n">
        <v>368</v>
      </c>
      <c r="F39" s="15" t="n">
        <v>90</v>
      </c>
      <c r="G39" s="15" t="n">
        <v>741</v>
      </c>
      <c r="H39" s="15" t="n">
        <v>728</v>
      </c>
      <c r="I39" s="15" t="n">
        <f aca="false">((G39+H39)/2)-20</f>
        <v>714.5</v>
      </c>
      <c r="J39" s="14" t="n">
        <f aca="false">I39/F39</f>
        <v>7.93888888888889</v>
      </c>
      <c r="K39" s="1" t="n">
        <f aca="false">J39/0.94</f>
        <v>8.44562647754137</v>
      </c>
      <c r="L39" s="15" t="n">
        <v>629</v>
      </c>
      <c r="M39" s="15" t="n">
        <v>587</v>
      </c>
      <c r="N39" s="14" t="n">
        <f aca="false">((L39+M39)/2)-20</f>
        <v>588</v>
      </c>
      <c r="O39" s="14" t="n">
        <f aca="false">N39/F39</f>
        <v>6.53333333333333</v>
      </c>
      <c r="P39" s="1" t="n">
        <f aca="false">(O39/0.09)-K39</f>
        <v>64.1469661150512</v>
      </c>
      <c r="R39" s="0" t="n">
        <v>245</v>
      </c>
      <c r="S39" s="15" t="n">
        <v>264</v>
      </c>
      <c r="T39" s="15" t="n">
        <v>271</v>
      </c>
      <c r="U39" s="15" t="n">
        <f aca="false">((S39+T39)/2)-20</f>
        <v>247.5</v>
      </c>
      <c r="V39" s="14" t="n">
        <f aca="false">U39/F39</f>
        <v>2.75</v>
      </c>
      <c r="W39" s="1" t="n">
        <f aca="false">V39/0.34</f>
        <v>8.08823529411765</v>
      </c>
      <c r="X39" s="15" t="n">
        <v>228</v>
      </c>
      <c r="Y39" s="15" t="n">
        <v>235</v>
      </c>
      <c r="Z39" s="14" t="n">
        <f aca="false">((X39+Y39)/2)-20</f>
        <v>211.5</v>
      </c>
      <c r="AA39" s="14" t="n">
        <f aca="false">Z39/F39</f>
        <v>2.35</v>
      </c>
      <c r="AB39" s="1" t="n">
        <f aca="false">(AA39/0.034)-W39</f>
        <v>61.0294117647059</v>
      </c>
      <c r="AC39" s="14" t="n">
        <f aca="false">(K39-W39)/K39</f>
        <v>0.0423167167496812</v>
      </c>
      <c r="AD39" s="14" t="n">
        <f aca="false">(P39-AB39)/P39</f>
        <v>0.0486001839082123</v>
      </c>
    </row>
    <row r="40" customFormat="false" ht="31.3" hidden="false" customHeight="false" outlineLevel="0" collapsed="false">
      <c r="B40" s="9" t="s">
        <v>125</v>
      </c>
      <c r="C40" s="10" t="s">
        <v>39</v>
      </c>
      <c r="D40" s="10" t="n">
        <v>6</v>
      </c>
      <c r="E40" s="15" t="n">
        <v>284</v>
      </c>
      <c r="F40" s="15" t="n">
        <v>90</v>
      </c>
      <c r="G40" s="15" t="n">
        <v>634</v>
      </c>
      <c r="H40" s="15" t="n">
        <v>630</v>
      </c>
      <c r="I40" s="15" t="n">
        <f aca="false">((G40+H40)/2)-20</f>
        <v>612</v>
      </c>
      <c r="J40" s="14" t="n">
        <f aca="false">I40/F40</f>
        <v>6.8</v>
      </c>
      <c r="K40" s="1" t="n">
        <f aca="false">J40/0.94</f>
        <v>7.23404255319149</v>
      </c>
      <c r="L40" s="15" t="n">
        <v>312</v>
      </c>
      <c r="M40" s="15" t="n">
        <v>292</v>
      </c>
      <c r="N40" s="14" t="n">
        <f aca="false">((L40+M40)/2)-20</f>
        <v>282</v>
      </c>
      <c r="O40" s="14" t="n">
        <f aca="false">N40/F40</f>
        <v>3.13333333333333</v>
      </c>
      <c r="P40" s="1" t="n">
        <f aca="false">(O40/0.09)-K40</f>
        <v>27.5807722616233</v>
      </c>
      <c r="R40" s="0" t="n">
        <v>246</v>
      </c>
      <c r="S40" s="15" t="n">
        <v>238</v>
      </c>
      <c r="T40" s="15" t="n">
        <v>241</v>
      </c>
      <c r="U40" s="15" t="n">
        <f aca="false">((S40+T40)/2)-20</f>
        <v>219.5</v>
      </c>
      <c r="V40" s="14" t="n">
        <f aca="false">U40/F40</f>
        <v>2.43888888888889</v>
      </c>
      <c r="W40" s="1" t="n">
        <f aca="false">V40/0.34</f>
        <v>7.17320261437909</v>
      </c>
      <c r="X40" s="15" t="n">
        <v>118</v>
      </c>
      <c r="Y40" s="15" t="n">
        <v>129</v>
      </c>
      <c r="Z40" s="14" t="n">
        <f aca="false">((X40+Y40)/2)-20</f>
        <v>103.5</v>
      </c>
      <c r="AA40" s="14" t="n">
        <f aca="false">Z40/F40</f>
        <v>1.15</v>
      </c>
      <c r="AB40" s="1" t="n">
        <f aca="false">(AA40/0.034)-W40</f>
        <v>26.6503267973856</v>
      </c>
      <c r="AC40" s="14" t="n">
        <f aca="false">(K40-W40)/K40</f>
        <v>0.00841022683583237</v>
      </c>
      <c r="AD40" s="14" t="n">
        <f aca="false">(P40-AB40)/P40</f>
        <v>0.0337352941176473</v>
      </c>
    </row>
    <row r="41" customFormat="false" ht="31.3" hidden="false" customHeight="false" outlineLevel="0" collapsed="false">
      <c r="B41" s="9" t="s">
        <v>126</v>
      </c>
      <c r="C41" s="10" t="s">
        <v>21</v>
      </c>
      <c r="D41" s="10" t="n">
        <v>4</v>
      </c>
      <c r="E41" s="15" t="n">
        <v>96</v>
      </c>
      <c r="F41" s="15" t="n">
        <v>90</v>
      </c>
      <c r="G41" s="15" t="n">
        <v>267</v>
      </c>
      <c r="H41" s="15" t="n">
        <v>289</v>
      </c>
      <c r="I41" s="15" t="n">
        <f aca="false">((G41+H41)/2)-20</f>
        <v>258</v>
      </c>
      <c r="J41" s="14" t="n">
        <f aca="false">I41/F41</f>
        <v>2.86666666666667</v>
      </c>
      <c r="K41" s="1" t="n">
        <f aca="false">J41/0.94</f>
        <v>3.04964539007092</v>
      </c>
      <c r="L41" s="15" t="n">
        <v>617</v>
      </c>
      <c r="M41" s="15" t="n">
        <v>621</v>
      </c>
      <c r="N41" s="14" t="n">
        <f aca="false">((L41+M41)/2)-20</f>
        <v>599</v>
      </c>
      <c r="O41" s="14" t="n">
        <f aca="false">N41/F41</f>
        <v>6.65555555555556</v>
      </c>
      <c r="P41" s="1" t="n">
        <f aca="false">(O41/0.09)-K41</f>
        <v>70.9009718938797</v>
      </c>
      <c r="R41" s="0" t="n">
        <v>278</v>
      </c>
      <c r="S41" s="15" t="n">
        <v>108</v>
      </c>
      <c r="T41" s="15" t="n">
        <v>111</v>
      </c>
      <c r="U41" s="15" t="n">
        <f aca="false">((S41+T41)/2)-20</f>
        <v>89.5</v>
      </c>
      <c r="V41" s="14" t="n">
        <f aca="false">U41/F41</f>
        <v>0.994444444444445</v>
      </c>
      <c r="W41" s="1" t="n">
        <f aca="false">V41/0.34</f>
        <v>2.92483660130719</v>
      </c>
      <c r="X41" s="15" t="n">
        <v>234</v>
      </c>
      <c r="Y41" s="15" t="n">
        <v>238</v>
      </c>
      <c r="Z41" s="14" t="n">
        <f aca="false">((X41+Y41)/2)-20</f>
        <v>216</v>
      </c>
      <c r="AA41" s="14" t="n">
        <f aca="false">Z41/F41</f>
        <v>2.4</v>
      </c>
      <c r="AB41" s="1" t="n">
        <f aca="false">(AA41/0.034)-W41</f>
        <v>67.6633986928105</v>
      </c>
      <c r="AC41" s="14" t="n">
        <f aca="false">(K41-W41)/K41</f>
        <v>0.0409256725946194</v>
      </c>
      <c r="AD41" s="14" t="n">
        <f aca="false">(P41-AB41)/P41</f>
        <v>0.0456633120053003</v>
      </c>
    </row>
    <row r="42" customFormat="false" ht="31.3" hidden="false" customHeight="false" outlineLevel="0" collapsed="false">
      <c r="B42" s="9" t="s">
        <v>127</v>
      </c>
      <c r="C42" s="10" t="s">
        <v>42</v>
      </c>
      <c r="D42" s="10" t="n">
        <v>8</v>
      </c>
      <c r="E42" s="15" t="n">
        <v>191</v>
      </c>
      <c r="F42" s="15" t="n">
        <v>90</v>
      </c>
      <c r="G42" s="15" t="n">
        <v>125</v>
      </c>
      <c r="H42" s="15" t="n">
        <v>128</v>
      </c>
      <c r="I42" s="15" t="n">
        <f aca="false">((G42+H42)/2)-20</f>
        <v>106.5</v>
      </c>
      <c r="J42" s="14" t="n">
        <f aca="false">I42/F42</f>
        <v>1.18333333333333</v>
      </c>
      <c r="K42" s="1" t="n">
        <f aca="false">J42/0.94</f>
        <v>1.25886524822695</v>
      </c>
      <c r="L42" s="15" t="n">
        <v>263</v>
      </c>
      <c r="M42" s="15" t="n">
        <v>266</v>
      </c>
      <c r="N42" s="14" t="n">
        <f aca="false">((L42+M42)/2)-20</f>
        <v>244.5</v>
      </c>
      <c r="O42" s="14" t="n">
        <f aca="false">N42/F42</f>
        <v>2.71666666666667</v>
      </c>
      <c r="P42" s="1" t="n">
        <f aca="false">(O42/0.09)-K42</f>
        <v>28.9263199369582</v>
      </c>
      <c r="R42" s="0" t="n">
        <v>242</v>
      </c>
      <c r="S42" s="15" t="n">
        <v>55</v>
      </c>
      <c r="T42" s="15" t="n">
        <v>60</v>
      </c>
      <c r="U42" s="15" t="n">
        <f aca="false">((S42+T42)/2)-20</f>
        <v>37.5</v>
      </c>
      <c r="V42" s="14" t="n">
        <f aca="false">U42/F42</f>
        <v>0.416666666666667</v>
      </c>
      <c r="W42" s="1" t="n">
        <f aca="false">V42/0.34</f>
        <v>1.22549019607843</v>
      </c>
      <c r="X42" s="15" t="n">
        <v>106</v>
      </c>
      <c r="Y42" s="15" t="n">
        <v>110</v>
      </c>
      <c r="Z42" s="14" t="n">
        <f aca="false">((X42+Y42)/2)-20</f>
        <v>88</v>
      </c>
      <c r="AA42" s="14" t="n">
        <f aca="false">Z42/F42</f>
        <v>0.977777777777778</v>
      </c>
      <c r="AB42" s="1" t="n">
        <f aca="false">(AA42/0.034)-W42</f>
        <v>27.5326797385621</v>
      </c>
      <c r="AC42" s="14" t="n">
        <f aca="false">(K42-W42)/K42</f>
        <v>0.0265120132560068</v>
      </c>
      <c r="AD42" s="14" t="n">
        <f aca="false">(P42-AB42)/P42</f>
        <v>0.0481789664718304</v>
      </c>
    </row>
    <row r="43" customFormat="false" ht="31.3" hidden="false" customHeight="false" outlineLevel="0" collapsed="false">
      <c r="B43" s="9" t="s">
        <v>128</v>
      </c>
      <c r="C43" s="10" t="s">
        <v>23</v>
      </c>
      <c r="D43" s="10" t="n">
        <v>2</v>
      </c>
      <c r="E43" s="15" t="n">
        <v>21</v>
      </c>
      <c r="F43" s="15" t="n">
        <v>90</v>
      </c>
      <c r="G43" s="15" t="n">
        <v>459</v>
      </c>
      <c r="H43" s="15" t="n">
        <v>462</v>
      </c>
      <c r="I43" s="15" t="n">
        <f aca="false">((G43+H43)/2)-20</f>
        <v>440.5</v>
      </c>
      <c r="J43" s="14" t="n">
        <f aca="false">I43/F43</f>
        <v>4.89444444444445</v>
      </c>
      <c r="K43" s="1" t="n">
        <f aca="false">J43/0.94</f>
        <v>5.20685579196218</v>
      </c>
      <c r="L43" s="15"/>
      <c r="M43" s="15" t="n">
        <v>384</v>
      </c>
      <c r="N43" s="14" t="n">
        <f aca="false">((L43+M43)/2)-20</f>
        <v>172</v>
      </c>
      <c r="O43" s="14" t="n">
        <f aca="false">N43/F43</f>
        <v>1.91111111111111</v>
      </c>
      <c r="P43" s="1" t="n">
        <f aca="false">(O43/0.09)-K43</f>
        <v>16.0277121092724</v>
      </c>
      <c r="R43" s="0" t="n">
        <v>239</v>
      </c>
      <c r="S43" s="15" t="n">
        <v>174</v>
      </c>
      <c r="T43" s="15" t="n">
        <v>181</v>
      </c>
      <c r="U43" s="15" t="n">
        <f aca="false">((S43+T43)/2)-20</f>
        <v>157.5</v>
      </c>
      <c r="V43" s="14" t="n">
        <f aca="false">U43/F43</f>
        <v>1.75</v>
      </c>
      <c r="W43" s="1" t="n">
        <f aca="false">V43/0.34</f>
        <v>5.14705882352941</v>
      </c>
      <c r="X43" s="15" t="n">
        <v>84</v>
      </c>
      <c r="Y43" s="15" t="n">
        <v>82</v>
      </c>
      <c r="Z43" s="14" t="n">
        <f aca="false">((X43+Y43)/2)-20</f>
        <v>63</v>
      </c>
      <c r="AA43" s="14" t="n">
        <f aca="false">Z43/F43</f>
        <v>0.7</v>
      </c>
      <c r="AB43" s="1" t="n">
        <f aca="false">(AA43/0.034)-W43</f>
        <v>15.4411764705882</v>
      </c>
      <c r="AC43" s="14" t="n">
        <f aca="false">(K43-W43)/K43</f>
        <v>0.0114842758896978</v>
      </c>
      <c r="AD43" s="14" t="n">
        <f aca="false">(P43-AB43)/P43</f>
        <v>0.0365950944642208</v>
      </c>
    </row>
    <row r="44" customFormat="false" ht="16.4" hidden="false" customHeight="false" outlineLevel="0" collapsed="false">
      <c r="B44" s="9" t="s">
        <v>129</v>
      </c>
      <c r="C44" s="10" t="s">
        <v>29</v>
      </c>
      <c r="D44" s="10" t="n">
        <v>10</v>
      </c>
      <c r="E44" s="15" t="n">
        <v>136</v>
      </c>
      <c r="F44" s="15" t="n">
        <v>90</v>
      </c>
      <c r="G44" s="15" t="n">
        <v>340</v>
      </c>
      <c r="H44" s="15" t="n">
        <v>331</v>
      </c>
      <c r="I44" s="15" t="n">
        <f aca="false">((G44+H44)/2)-20</f>
        <v>315.5</v>
      </c>
      <c r="J44" s="14" t="n">
        <f aca="false">I44/F44</f>
        <v>3.50555555555556</v>
      </c>
      <c r="K44" s="1" t="n">
        <f aca="false">J44/0.94</f>
        <v>3.72931442080378</v>
      </c>
      <c r="L44" s="15" t="n">
        <v>343</v>
      </c>
      <c r="M44" s="15" t="n">
        <v>343</v>
      </c>
      <c r="N44" s="14" t="n">
        <f aca="false">((L44+M44)/2)-20</f>
        <v>323</v>
      </c>
      <c r="O44" s="14" t="n">
        <f aca="false">N44/F44</f>
        <v>3.58888888888889</v>
      </c>
      <c r="P44" s="1" t="n">
        <f aca="false">(O44/0.09)-K44</f>
        <v>36.1472287890728</v>
      </c>
      <c r="R44" s="0" t="n">
        <v>252</v>
      </c>
      <c r="S44" s="15" t="n">
        <v>135</v>
      </c>
      <c r="T44" s="15" t="n">
        <v>132</v>
      </c>
      <c r="U44" s="15" t="n">
        <f aca="false">((S44+T44)/2)-20</f>
        <v>113.5</v>
      </c>
      <c r="V44" s="14" t="n">
        <f aca="false">U44/F44</f>
        <v>1.26111111111111</v>
      </c>
      <c r="W44" s="1" t="n">
        <f aca="false">V44/0.34</f>
        <v>3.70915032679739</v>
      </c>
      <c r="X44" s="15" t="n">
        <v>135</v>
      </c>
      <c r="Y44" s="15" t="n">
        <v>142</v>
      </c>
      <c r="Z44" s="14" t="n">
        <f aca="false">((X44+Y44)/2)-20</f>
        <v>118.5</v>
      </c>
      <c r="AA44" s="14" t="n">
        <f aca="false">Z44/F44</f>
        <v>1.31666666666667</v>
      </c>
      <c r="AB44" s="1" t="n">
        <f aca="false">(AA44/0.034)-W44</f>
        <v>35.016339869281</v>
      </c>
      <c r="AC44" s="14" t="n">
        <f aca="false">(K44-W44)/K44</f>
        <v>0.00540691712501173</v>
      </c>
      <c r="AD44" s="14" t="n">
        <f aca="false">(P44-AB44)/P44</f>
        <v>0.0312856326107518</v>
      </c>
    </row>
    <row r="45" customFormat="false" ht="16.4" hidden="false" customHeight="false" outlineLevel="0" collapsed="false">
      <c r="B45" s="9" t="s">
        <v>130</v>
      </c>
      <c r="C45" s="10" t="s">
        <v>46</v>
      </c>
      <c r="D45" s="10" t="n">
        <v>9</v>
      </c>
      <c r="E45" s="15" t="n">
        <v>156</v>
      </c>
      <c r="F45" s="15" t="n">
        <v>90</v>
      </c>
      <c r="G45" s="15" t="n">
        <v>252</v>
      </c>
      <c r="H45" s="15" t="n">
        <v>259</v>
      </c>
      <c r="I45" s="15" t="n">
        <f aca="false">((G45+H45)/2)-20</f>
        <v>235.5</v>
      </c>
      <c r="J45" s="14" t="n">
        <f aca="false">I45/F45</f>
        <v>2.61666666666667</v>
      </c>
      <c r="K45" s="1" t="n">
        <f aca="false">J45/0.94</f>
        <v>2.78368794326241</v>
      </c>
      <c r="L45" s="15" t="n">
        <v>435</v>
      </c>
      <c r="M45" s="15" t="n">
        <v>431</v>
      </c>
      <c r="N45" s="14" t="n">
        <f aca="false">((L45+M45)/2)-20</f>
        <v>413</v>
      </c>
      <c r="O45" s="14" t="n">
        <f aca="false">N45/F45</f>
        <v>4.58888888888889</v>
      </c>
      <c r="P45" s="1" t="n">
        <f aca="false">(O45/0.09)-K45</f>
        <v>48.2039663777252</v>
      </c>
      <c r="R45" s="0" t="n">
        <v>234</v>
      </c>
      <c r="S45" s="15" t="n">
        <v>95</v>
      </c>
      <c r="T45" s="15" t="n">
        <v>111</v>
      </c>
      <c r="U45" s="15" t="n">
        <f aca="false">((S45+T45)/2)-20</f>
        <v>83</v>
      </c>
      <c r="V45" s="14" t="n">
        <f aca="false">U45/F45</f>
        <v>0.922222222222222</v>
      </c>
      <c r="W45" s="1" t="n">
        <f aca="false">V45/0.34</f>
        <v>2.7124183006536</v>
      </c>
      <c r="X45" s="15" t="n">
        <v>154</v>
      </c>
      <c r="Y45" s="15" t="n">
        <v>177</v>
      </c>
      <c r="Z45" s="14" t="n">
        <f aca="false">((X45+Y45)/2)-20</f>
        <v>145.5</v>
      </c>
      <c r="AA45" s="14" t="n">
        <f aca="false">Z45/F45</f>
        <v>1.61666666666667</v>
      </c>
      <c r="AB45" s="1" t="n">
        <f aca="false">(AA45/0.034)-W45</f>
        <v>44.8366013071895</v>
      </c>
      <c r="AC45" s="14" t="n">
        <f aca="false">(K45-W45)/K45</f>
        <v>0.025602597726989</v>
      </c>
      <c r="AD45" s="14" t="n">
        <f aca="false">(P45-AB45)/P45</f>
        <v>0.0698565973627377</v>
      </c>
    </row>
    <row r="46" customFormat="false" ht="46.25" hidden="false" customHeight="false" outlineLevel="0" collapsed="false">
      <c r="B46" s="9" t="s">
        <v>131</v>
      </c>
      <c r="C46" s="10" t="s">
        <v>48</v>
      </c>
      <c r="D46" s="10" t="n">
        <v>10</v>
      </c>
      <c r="E46" s="15" t="n">
        <v>393</v>
      </c>
      <c r="F46" s="15" t="n">
        <v>90</v>
      </c>
      <c r="G46" s="15" t="n">
        <v>206</v>
      </c>
      <c r="H46" s="15" t="n">
        <v>206</v>
      </c>
      <c r="I46" s="15" t="n">
        <f aca="false">((G46+H46)/2)-20</f>
        <v>186</v>
      </c>
      <c r="J46" s="14" t="n">
        <f aca="false">I46/F46</f>
        <v>2.06666666666667</v>
      </c>
      <c r="K46" s="1" t="n">
        <f aca="false">J46/0.94</f>
        <v>2.19858156028369</v>
      </c>
      <c r="L46" s="15" t="n">
        <v>267</v>
      </c>
      <c r="M46" s="15" t="n">
        <v>267</v>
      </c>
      <c r="N46" s="14" t="n">
        <f aca="false">((L46+M46)/2)-20</f>
        <v>247</v>
      </c>
      <c r="O46" s="14" t="n">
        <f aca="false">N46/F46</f>
        <v>2.74444444444444</v>
      </c>
      <c r="P46" s="1" t="n">
        <f aca="false">(O46/0.09)-K46</f>
        <v>28.2952456002101</v>
      </c>
      <c r="R46" s="0" t="n">
        <v>231</v>
      </c>
      <c r="S46" s="15" t="n">
        <v>81</v>
      </c>
      <c r="T46" s="15" t="n">
        <v>89</v>
      </c>
      <c r="U46" s="15" t="n">
        <f aca="false">((S46+T46)/2)-20</f>
        <v>65</v>
      </c>
      <c r="V46" s="14" t="n">
        <f aca="false">U46/F46</f>
        <v>0.722222222222222</v>
      </c>
      <c r="W46" s="1" t="n">
        <f aca="false">V46/0.34</f>
        <v>2.12418300653595</v>
      </c>
      <c r="X46" s="15" t="n">
        <v>105</v>
      </c>
      <c r="Y46" s="15" t="n">
        <v>107</v>
      </c>
      <c r="Z46" s="14" t="n">
        <f aca="false">((X46+Y46)/2)-20</f>
        <v>86</v>
      </c>
      <c r="AA46" s="14" t="n">
        <f aca="false">Z46/F46</f>
        <v>0.955555555555556</v>
      </c>
      <c r="AB46" s="1" t="n">
        <f aca="false">(AA46/0.034)-W46</f>
        <v>25.9803921568627</v>
      </c>
      <c r="AC46" s="14" t="n">
        <f aca="false">(K46-W46)/K46</f>
        <v>0.0338393421884884</v>
      </c>
      <c r="AD46" s="14" t="n">
        <f aca="false">(P46-AB46)/P46</f>
        <v>0.0818106856556214</v>
      </c>
    </row>
    <row r="47" customFormat="false" ht="31.3" hidden="false" customHeight="false" outlineLevel="0" collapsed="false">
      <c r="B47" s="9" t="s">
        <v>132</v>
      </c>
      <c r="C47" s="10" t="s">
        <v>50</v>
      </c>
      <c r="D47" s="10" t="n">
        <v>4</v>
      </c>
      <c r="E47" s="15" t="n">
        <v>183</v>
      </c>
      <c r="F47" s="15" t="n">
        <v>90</v>
      </c>
      <c r="G47" s="15" t="n">
        <v>359</v>
      </c>
      <c r="H47" s="15" t="n">
        <v>358</v>
      </c>
      <c r="I47" s="15" t="n">
        <f aca="false">((G47+H47)/2)-20</f>
        <v>338.5</v>
      </c>
      <c r="J47" s="14" t="n">
        <f aca="false">I47/F47</f>
        <v>3.76111111111111</v>
      </c>
      <c r="K47" s="1" t="n">
        <f aca="false">J47/0.94</f>
        <v>4.00118203309693</v>
      </c>
      <c r="L47" s="15" t="n">
        <v>913</v>
      </c>
      <c r="M47" s="15" t="n">
        <v>942</v>
      </c>
      <c r="N47" s="14" t="n">
        <f aca="false">((L47+M47)/2)-20</f>
        <v>907.5</v>
      </c>
      <c r="O47" s="14" t="n">
        <f aca="false">N47/F47</f>
        <v>10.0833333333333</v>
      </c>
      <c r="P47" s="1" t="n">
        <f aca="false">(O47/0.09)-K47</f>
        <v>108.03585500394</v>
      </c>
      <c r="R47" s="0" t="n">
        <v>237</v>
      </c>
      <c r="S47" s="15" t="n">
        <v>138</v>
      </c>
      <c r="T47" s="15" t="n">
        <v>141</v>
      </c>
      <c r="U47" s="15" t="n">
        <f aca="false">((S47+T47)/2)-20</f>
        <v>119.5</v>
      </c>
      <c r="V47" s="14" t="n">
        <f aca="false">U47/F47</f>
        <v>1.32777777777778</v>
      </c>
      <c r="W47" s="1" t="n">
        <f aca="false">V47/0.34</f>
        <v>3.90522875816993</v>
      </c>
      <c r="X47" s="15" t="n">
        <v>326</v>
      </c>
      <c r="Y47" s="15" t="n">
        <v>332</v>
      </c>
      <c r="Z47" s="14" t="n">
        <f aca="false">((X47+Y47)/2)-20</f>
        <v>309</v>
      </c>
      <c r="AA47" s="14" t="n">
        <f aca="false">Z47/F47</f>
        <v>3.43333333333333</v>
      </c>
      <c r="AB47" s="1" t="n">
        <f aca="false">(AA47/0.034)-W47</f>
        <v>97.0751633986928</v>
      </c>
      <c r="AC47" s="14" t="n">
        <f aca="false">(K47-W47)/K47</f>
        <v>0.0239812320792425</v>
      </c>
      <c r="AD47" s="14" t="n">
        <f aca="false">(P47-AB47)/P47</f>
        <v>0.101454203373941</v>
      </c>
    </row>
    <row r="48" customFormat="false" ht="31.3" hidden="false" customHeight="false" outlineLevel="0" collapsed="false">
      <c r="B48" s="9" t="s">
        <v>133</v>
      </c>
      <c r="C48" s="10" t="s">
        <v>23</v>
      </c>
      <c r="D48" s="10" t="n">
        <v>10</v>
      </c>
      <c r="E48" s="15" t="n">
        <v>31</v>
      </c>
      <c r="F48" s="15" t="n">
        <v>90</v>
      </c>
      <c r="G48" s="15" t="n">
        <v>316</v>
      </c>
      <c r="H48" s="15" t="n">
        <v>320</v>
      </c>
      <c r="I48" s="15" t="n">
        <f aca="false">((G48+H48)/2)-20</f>
        <v>298</v>
      </c>
      <c r="J48" s="14" t="n">
        <f aca="false">I48/F48</f>
        <v>3.31111111111111</v>
      </c>
      <c r="K48" s="1" t="n">
        <f aca="false">J48/0.94</f>
        <v>3.52245862884161</v>
      </c>
      <c r="L48" s="15" t="n">
        <v>450</v>
      </c>
      <c r="M48" s="15" t="n">
        <v>439</v>
      </c>
      <c r="N48" s="14" t="n">
        <f aca="false">((L48+M48)/2)-20</f>
        <v>424.5</v>
      </c>
      <c r="O48" s="14" t="n">
        <f aca="false">N48/F48</f>
        <v>4.71666666666667</v>
      </c>
      <c r="P48" s="1" t="n">
        <f aca="false">(O48/0.09)-K48</f>
        <v>48.8849487785658</v>
      </c>
      <c r="R48" s="0" t="n">
        <v>240</v>
      </c>
      <c r="S48" s="15" t="n">
        <v>137</v>
      </c>
      <c r="T48" s="15" t="n">
        <v>137</v>
      </c>
      <c r="U48" s="15" t="n">
        <f aca="false">((S48+T48)/2)-20</f>
        <v>117</v>
      </c>
      <c r="V48" s="14" t="n">
        <f aca="false">U48/F48</f>
        <v>1.3</v>
      </c>
      <c r="W48" s="1" t="n">
        <f aca="false">V48/0.34</f>
        <v>3.82352941176471</v>
      </c>
      <c r="X48" s="15" t="n">
        <v>172</v>
      </c>
      <c r="Y48" s="15" t="n">
        <v>175</v>
      </c>
      <c r="Z48" s="14" t="n">
        <f aca="false">((X48+Y48)/2)-20</f>
        <v>153.5</v>
      </c>
      <c r="AA48" s="14" t="n">
        <f aca="false">Z48/F48</f>
        <v>1.70555555555556</v>
      </c>
      <c r="AB48" s="1" t="n">
        <f aca="false">(AA48/0.034)-W48</f>
        <v>46.3398692810458</v>
      </c>
      <c r="AC48" s="14" t="n">
        <f aca="false">(K48-W48)/K48</f>
        <v>-0.085471772601658</v>
      </c>
      <c r="AD48" s="14" t="n">
        <f aca="false">(P48-AB48)/P48</f>
        <v>0.0520626401604409</v>
      </c>
    </row>
    <row r="49" customFormat="false" ht="31.3" hidden="false" customHeight="false" outlineLevel="0" collapsed="false">
      <c r="B49" s="9" t="s">
        <v>134</v>
      </c>
      <c r="C49" s="10" t="s">
        <v>23</v>
      </c>
      <c r="D49" s="10"/>
      <c r="E49" s="15" t="n">
        <v>202</v>
      </c>
      <c r="F49" s="15" t="n">
        <v>90</v>
      </c>
      <c r="G49" s="15" t="n">
        <v>194</v>
      </c>
      <c r="H49" s="15" t="n">
        <v>193</v>
      </c>
      <c r="I49" s="15" t="n">
        <f aca="false">((G49+H49)/2)-20</f>
        <v>173.5</v>
      </c>
      <c r="J49" s="14" t="n">
        <f aca="false">I49/F49</f>
        <v>1.92777777777778</v>
      </c>
      <c r="K49" s="1" t="n">
        <f aca="false">J49/0.94</f>
        <v>2.05082742316785</v>
      </c>
      <c r="L49" s="15" t="n">
        <v>259</v>
      </c>
      <c r="M49" s="15" t="n">
        <v>258</v>
      </c>
      <c r="N49" s="14" t="n">
        <f aca="false">((L49+M49)/2)-20</f>
        <v>238.5</v>
      </c>
      <c r="O49" s="14" t="n">
        <f aca="false">N49/F49</f>
        <v>2.65</v>
      </c>
      <c r="P49" s="1" t="n">
        <f aca="false">(O49/0.09)-K49</f>
        <v>27.3936170212766</v>
      </c>
      <c r="R49" s="0" t="n">
        <v>233</v>
      </c>
      <c r="S49" s="15" t="n">
        <v>76</v>
      </c>
      <c r="T49" s="15" t="n">
        <v>84</v>
      </c>
      <c r="U49" s="15" t="n">
        <f aca="false">((S49+T49)/2)-20</f>
        <v>60</v>
      </c>
      <c r="V49" s="14" t="n">
        <f aca="false">U49/F49</f>
        <v>0.666666666666667</v>
      </c>
      <c r="W49" s="1" t="n">
        <f aca="false">V49/0.34</f>
        <v>1.96078431372549</v>
      </c>
      <c r="X49" s="15" t="n">
        <v>104</v>
      </c>
      <c r="Y49" s="15" t="n">
        <v>110</v>
      </c>
      <c r="Z49" s="14" t="n">
        <f aca="false">((X49+Y49)/2)-20</f>
        <v>87</v>
      </c>
      <c r="AA49" s="14" t="n">
        <f aca="false">Z49/F49</f>
        <v>0.966666666666667</v>
      </c>
      <c r="AB49" s="1" t="n">
        <f aca="false">(AA49/0.034)-W49</f>
        <v>26.4705882352941</v>
      </c>
      <c r="AC49" s="14" t="n">
        <f aca="false">(K49-W49)/K49</f>
        <v>0.0439057467367352</v>
      </c>
      <c r="AD49" s="14" t="n">
        <f aca="false">(P49-AB49)/P49</f>
        <v>0.0336950314106225</v>
      </c>
    </row>
    <row r="50" customFormat="false" ht="15" hidden="false" customHeight="false" outlineLevel="0" collapsed="false">
      <c r="B50" s="9"/>
      <c r="C50" s="10" t="s">
        <v>23</v>
      </c>
      <c r="D50" s="10"/>
      <c r="E50" s="15" t="n">
        <v>485</v>
      </c>
      <c r="F50" s="15" t="n">
        <v>90</v>
      </c>
      <c r="G50" s="15" t="n">
        <v>1062</v>
      </c>
      <c r="H50" s="15" t="n">
        <v>1066</v>
      </c>
      <c r="I50" s="15" t="n">
        <f aca="false">((G50+H50)/2)-20</f>
        <v>1044</v>
      </c>
      <c r="J50" s="14" t="n">
        <f aca="false">I50/F50</f>
        <v>11.6</v>
      </c>
      <c r="K50" s="1" t="n">
        <f aca="false">J50/0.94</f>
        <v>12.3404255319149</v>
      </c>
      <c r="L50" s="15" t="n">
        <v>534</v>
      </c>
      <c r="M50" s="15" t="n">
        <v>526</v>
      </c>
      <c r="N50" s="14" t="n">
        <f aca="false">((L50+M50)/2)-20</f>
        <v>510</v>
      </c>
      <c r="O50" s="14" t="n">
        <f aca="false">N50/F50</f>
        <v>5.66666666666667</v>
      </c>
      <c r="P50" s="1" t="n">
        <f aca="false">(O50/0.09)-K50</f>
        <v>50.6225374310481</v>
      </c>
      <c r="R50" s="0" t="n">
        <v>236</v>
      </c>
      <c r="S50" s="15" t="n">
        <v>395</v>
      </c>
      <c r="T50" s="15" t="n">
        <v>382</v>
      </c>
      <c r="U50" s="15" t="n">
        <f aca="false">((S50+T50)/2)-20</f>
        <v>368.5</v>
      </c>
      <c r="V50" s="14" t="n">
        <f aca="false">U50/F50</f>
        <v>4.09444444444444</v>
      </c>
      <c r="W50" s="1" t="n">
        <f aca="false">V50/0.34</f>
        <v>12.0424836601307</v>
      </c>
      <c r="X50" s="15" t="n">
        <v>205</v>
      </c>
      <c r="Y50" s="15" t="n">
        <v>201</v>
      </c>
      <c r="Z50" s="14" t="n">
        <f aca="false">((X50+Y50)/2)-20</f>
        <v>183</v>
      </c>
      <c r="AA50" s="14" t="n">
        <f aca="false">Z50/F50</f>
        <v>2.03333333333333</v>
      </c>
      <c r="AB50" s="1" t="n">
        <f aca="false">(AA50/0.034)-W50</f>
        <v>47.7614379084967</v>
      </c>
      <c r="AC50" s="14" t="n">
        <f aca="false">(K50-W50)/K50</f>
        <v>0.0241435654721661</v>
      </c>
      <c r="AD50" s="14" t="n">
        <f aca="false">(P50-AB50)/P50</f>
        <v>0.0565182953629772</v>
      </c>
    </row>
    <row r="51" customFormat="false" ht="15" hidden="false" customHeight="false" outlineLevel="0" collapsed="false">
      <c r="B51" s="9"/>
      <c r="C51" s="10"/>
      <c r="D51" s="10"/>
      <c r="J51" s="14"/>
      <c r="K51" s="14"/>
      <c r="P51" s="14"/>
      <c r="S51" s="15"/>
      <c r="T51" s="15"/>
      <c r="V51" s="14"/>
      <c r="W51" s="14"/>
      <c r="AB51" s="14"/>
      <c r="AC51" s="14"/>
      <c r="AD51" s="14"/>
    </row>
    <row r="52" customFormat="false" ht="15" hidden="false" customHeight="false" outlineLevel="0" collapsed="false">
      <c r="C52" s="10"/>
      <c r="D52" s="10"/>
      <c r="J52" s="14"/>
      <c r="K52" s="14"/>
      <c r="P52" s="14"/>
      <c r="V52" s="14"/>
      <c r="W52" s="14"/>
      <c r="AB52" s="14"/>
      <c r="AC52" s="14"/>
      <c r="AD52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fr-FR</dc:language>
  <cp:lastModifiedBy/>
  <dcterms:modified xsi:type="dcterms:W3CDTF">2026-06-25T11:57:28Z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